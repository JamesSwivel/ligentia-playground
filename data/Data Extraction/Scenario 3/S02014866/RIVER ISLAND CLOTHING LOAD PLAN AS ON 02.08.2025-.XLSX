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MdRoni.Hosen\AppData\Local\Temp\"/>
    </mc:Choice>
  </mc:AlternateContent>
  <xr:revisionPtr revIDLastSave="0" documentId="13_ncr:1_{B1921F6A-C4CF-4BBE-881F-9808110BD48E}" xr6:coauthVersionLast="47" xr6:coauthVersionMax="47" xr10:uidLastSave="{00000000-0000-0000-0000-000000000000}"/>
  <bookViews>
    <workbookView xWindow="-108" yWindow="-108" windowWidth="23256" windowHeight="12456" xr2:uid="{C1564FDF-DCE1-45C3-8135-0EF62B048BE2}"/>
  </bookViews>
  <sheets>
    <sheet name="CLP-DUMP" sheetId="1" r:id="rId1"/>
  </sheets>
  <definedNames>
    <definedName name="_xlnm._FilterDatabase" localSheetId="0" hidden="1">'CLP-DUMP'!$M$2:$M$257</definedName>
    <definedName name="_xlnm.Print_Area" localSheetId="0">'CLP-DUMP'!$A$1:$W$159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7" i="1" l="1"/>
  <c r="Q257" i="1"/>
  <c r="R257" i="1"/>
  <c r="S257" i="1"/>
  <c r="P221" i="1"/>
  <c r="Q221" i="1"/>
  <c r="R221" i="1"/>
  <c r="S221" i="1"/>
  <c r="P184" i="1"/>
  <c r="Q184" i="1"/>
  <c r="R184" i="1"/>
  <c r="S184" i="1"/>
  <c r="P141" i="1"/>
  <c r="Q141" i="1"/>
  <c r="R141" i="1"/>
  <c r="S141" i="1"/>
  <c r="P112" i="1"/>
  <c r="Q112" i="1"/>
  <c r="R112" i="1"/>
  <c r="S112" i="1"/>
  <c r="P82" i="1"/>
  <c r="Q82" i="1"/>
  <c r="R82" i="1"/>
  <c r="S82" i="1"/>
  <c r="P38" i="1"/>
  <c r="Q38" i="1"/>
  <c r="R38" i="1"/>
  <c r="S38" i="1"/>
</calcChain>
</file>

<file path=xl/sharedStrings.xml><?xml version="1.0" encoding="utf-8"?>
<sst xmlns="http://schemas.openxmlformats.org/spreadsheetml/2006/main" count="2675" uniqueCount="985">
  <si>
    <t># UNLOAD &amp; LOADING SOP- PO, STYLE WITH CTNS SERIAL WISE SNAKE LOAD 1ST TO LAST NUMBER. DO NOT SPLIT 01 DOC 02 CONTAINER.BARCODE FRONT SIDE LOAD.</t>
  </si>
  <si>
    <t>For River Island – pls don’t increase CBM more than 5% from INV &amp; PKL CBM. This is Ligentia UK instruction</t>
  </si>
  <si>
    <t>CONGIGNEE</t>
  </si>
  <si>
    <t>SHIPPER</t>
  </si>
  <si>
    <t>BOOKING NO.</t>
  </si>
  <si>
    <t>INVOICE NO</t>
  </si>
  <si>
    <t>RECEIVE DATE</t>
  </si>
  <si>
    <t>DOC DATE</t>
  </si>
  <si>
    <t>PO</t>
  </si>
  <si>
    <t>LINE NO</t>
  </si>
  <si>
    <t>PRODUCT NO</t>
  </si>
  <si>
    <t>LIGENTIA BK</t>
  </si>
  <si>
    <t>SERIAL/SIZE</t>
  </si>
  <si>
    <t>DIMENSION</t>
  </si>
  <si>
    <t>LOT</t>
  </si>
  <si>
    <t>PKGS</t>
  </si>
  <si>
    <t>PCS</t>
  </si>
  <si>
    <t>CBM</t>
  </si>
  <si>
    <t>GWT</t>
  </si>
  <si>
    <t>CFS</t>
  </si>
  <si>
    <t>DEST</t>
  </si>
  <si>
    <t>CARRIER</t>
  </si>
  <si>
    <t>QC Result</t>
  </si>
  <si>
    <t>CONT</t>
  </si>
  <si>
    <t>SEAL</t>
  </si>
  <si>
    <t>SB NO</t>
  </si>
  <si>
    <t>SB DATE</t>
  </si>
  <si>
    <t>C-CODE</t>
  </si>
  <si>
    <t>VGM KG</t>
  </si>
  <si>
    <t>RIVER ISLAND CLOTHING CO LTD</t>
  </si>
  <si>
    <t>T-DESIGN KNITWEAR LTD.</t>
  </si>
  <si>
    <t>SAPL</t>
  </si>
  <si>
    <t>LONDON GATEWAY</t>
  </si>
  <si>
    <t>JEANS 2000 LTD.</t>
  </si>
  <si>
    <t>SHARAF APPARELS LIMITED</t>
  </si>
  <si>
    <t>INTERSTOFF APPARELS LTD</t>
  </si>
  <si>
    <t>MEGHNA KNIT COMPOSITE LTD</t>
  </si>
  <si>
    <t>COTTONEX FASHIONS LIMITED</t>
  </si>
  <si>
    <t>CONSUMER KNITEX LIMITED</t>
  </si>
  <si>
    <t>ARBELLA FASHION LTD</t>
  </si>
  <si>
    <t>BIG BOSS CORPORATION LTD</t>
  </si>
  <si>
    <t>UNIVERSAL MENSWEAR LTD</t>
  </si>
  <si>
    <t>60X34X28</t>
  </si>
  <si>
    <t>1-26</t>
  </si>
  <si>
    <t>BHML INDUSTRIES LTD</t>
  </si>
  <si>
    <t>1-29</t>
  </si>
  <si>
    <t>1-35</t>
  </si>
  <si>
    <t>61X34X45</t>
  </si>
  <si>
    <t>1-41</t>
  </si>
  <si>
    <t>1-24</t>
  </si>
  <si>
    <t>pass</t>
  </si>
  <si>
    <t>927123</t>
  </si>
  <si>
    <t>842092</t>
  </si>
  <si>
    <t>MASTRADE INT'L GARMENTS LTD</t>
  </si>
  <si>
    <t>1-68</t>
  </si>
  <si>
    <t>50X33X27</t>
  </si>
  <si>
    <t>1-5</t>
  </si>
  <si>
    <t>1-73</t>
  </si>
  <si>
    <t>1-31</t>
  </si>
  <si>
    <t>61X34X34</t>
  </si>
  <si>
    <t>EFOE25072004</t>
  </si>
  <si>
    <t>J2L20252600043</t>
  </si>
  <si>
    <t>843385</t>
  </si>
  <si>
    <t>1414795</t>
  </si>
  <si>
    <t>442663</t>
  </si>
  <si>
    <t>SE0207250221</t>
  </si>
  <si>
    <t>1-118</t>
  </si>
  <si>
    <t>1-124</t>
  </si>
  <si>
    <t>60X33X12</t>
  </si>
  <si>
    <t>SE0206250491</t>
  </si>
  <si>
    <t>926854</t>
  </si>
  <si>
    <t>1411582</t>
  </si>
  <si>
    <t>841559</t>
  </si>
  <si>
    <t>MTIGL-MAX-05-131-2025</t>
  </si>
  <si>
    <t>EFOE25072182</t>
  </si>
  <si>
    <t>SE1606250450</t>
  </si>
  <si>
    <t>927124</t>
  </si>
  <si>
    <t>1412412</t>
  </si>
  <si>
    <t>842076</t>
  </si>
  <si>
    <t>MTIGL-MAX-05-122-2025</t>
  </si>
  <si>
    <t>EFOE25071589</t>
  </si>
  <si>
    <t>1-34</t>
  </si>
  <si>
    <t>SE1606250445</t>
  </si>
  <si>
    <t>927125</t>
  </si>
  <si>
    <t>1412407</t>
  </si>
  <si>
    <t>842071</t>
  </si>
  <si>
    <t>SE0206250503</t>
  </si>
  <si>
    <t>927081</t>
  </si>
  <si>
    <t>1412249</t>
  </si>
  <si>
    <t>841962</t>
  </si>
  <si>
    <t>SE0206250454</t>
  </si>
  <si>
    <t>1412245</t>
  </si>
  <si>
    <t>66X33X28</t>
  </si>
  <si>
    <t>SE1606250490</t>
  </si>
  <si>
    <t>927630</t>
  </si>
  <si>
    <t>1414072</t>
  </si>
  <si>
    <t>843010</t>
  </si>
  <si>
    <t>MTIGL-MAX-05-116-2025</t>
  </si>
  <si>
    <t>EFOE25071541</t>
  </si>
  <si>
    <t>1-60</t>
  </si>
  <si>
    <t>SE0406250705</t>
  </si>
  <si>
    <t>1412430</t>
  </si>
  <si>
    <t>1-167</t>
  </si>
  <si>
    <t>SE0206250498</t>
  </si>
  <si>
    <t>927114</t>
  </si>
  <si>
    <t>1412416</t>
  </si>
  <si>
    <t>842080</t>
  </si>
  <si>
    <t>SE1606250350</t>
  </si>
  <si>
    <t>927084</t>
  </si>
  <si>
    <t>1412308</t>
  </si>
  <si>
    <t>842005</t>
  </si>
  <si>
    <t>EFOE25072449</t>
  </si>
  <si>
    <t>RI1022-25</t>
  </si>
  <si>
    <t>841581</t>
  </si>
  <si>
    <t>1411626</t>
  </si>
  <si>
    <t>375818</t>
  </si>
  <si>
    <t>SE1007250275</t>
  </si>
  <si>
    <t>1-23</t>
  </si>
  <si>
    <t>61X33X27</t>
  </si>
  <si>
    <t>EFOE25072450</t>
  </si>
  <si>
    <t>RI1023-25</t>
  </si>
  <si>
    <t>1411630</t>
  </si>
  <si>
    <t>375819</t>
  </si>
  <si>
    <t>SE1007250279</t>
  </si>
  <si>
    <t>1-19</t>
  </si>
  <si>
    <t>EFOE25072452</t>
  </si>
  <si>
    <t>RI1024-25</t>
  </si>
  <si>
    <t>1411631</t>
  </si>
  <si>
    <t>375820</t>
  </si>
  <si>
    <t>SE1007250282</t>
  </si>
  <si>
    <t>20-24</t>
  </si>
  <si>
    <t>60X33X11</t>
  </si>
  <si>
    <t>19-19</t>
  </si>
  <si>
    <t>60X33X17</t>
  </si>
  <si>
    <t>1-18</t>
  </si>
  <si>
    <t>60X33X27</t>
  </si>
  <si>
    <t>EFOE25072455</t>
  </si>
  <si>
    <t>RI1025-25</t>
  </si>
  <si>
    <t>841584</t>
  </si>
  <si>
    <t>1411632</t>
  </si>
  <si>
    <t>375815</t>
  </si>
  <si>
    <t>SE1007250285</t>
  </si>
  <si>
    <t>EFOE25072456</t>
  </si>
  <si>
    <t>RI1026-25</t>
  </si>
  <si>
    <t>1411636</t>
  </si>
  <si>
    <t>375816</t>
  </si>
  <si>
    <t>SE1007250293</t>
  </si>
  <si>
    <t>EFOE25072459</t>
  </si>
  <si>
    <t>RI1027-25</t>
  </si>
  <si>
    <t>1411639</t>
  </si>
  <si>
    <t>375817</t>
  </si>
  <si>
    <t>SE1007250297</t>
  </si>
  <si>
    <t>MOUCHAK KNIT COMPOSITE LTD</t>
  </si>
  <si>
    <t>EFOE25072014</t>
  </si>
  <si>
    <t>MKCL/30-579/2024</t>
  </si>
  <si>
    <t>845686</t>
  </si>
  <si>
    <t>1418582</t>
  </si>
  <si>
    <t>443524</t>
  </si>
  <si>
    <t>SE0206250470</t>
  </si>
  <si>
    <t/>
  </si>
  <si>
    <t>EFOE25072015</t>
  </si>
  <si>
    <t>MKCL/30-580/2024</t>
  </si>
  <si>
    <t>841523</t>
  </si>
  <si>
    <t>1411504</t>
  </si>
  <si>
    <t>443145</t>
  </si>
  <si>
    <t>SE0206250460</t>
  </si>
  <si>
    <t>1411507</t>
  </si>
  <si>
    <t>443146</t>
  </si>
  <si>
    <t>EFOE25072465</t>
  </si>
  <si>
    <t>BHML-BTX-RIV-308-2025</t>
  </si>
  <si>
    <t>839319</t>
  </si>
  <si>
    <t>1411517</t>
  </si>
  <si>
    <t>376209</t>
  </si>
  <si>
    <t>SE0707250512</t>
  </si>
  <si>
    <t>60X33X32.5</t>
  </si>
  <si>
    <t>1411520</t>
  </si>
  <si>
    <t>376114</t>
  </si>
  <si>
    <t>1411524</t>
  </si>
  <si>
    <t>378584</t>
  </si>
  <si>
    <t>1411671</t>
  </si>
  <si>
    <t>376208</t>
  </si>
  <si>
    <t>1411705</t>
  </si>
  <si>
    <t>378585</t>
  </si>
  <si>
    <t>EFOE25072501</t>
  </si>
  <si>
    <t>J2L20252600046</t>
  </si>
  <si>
    <t>845350</t>
  </si>
  <si>
    <t>1418056</t>
  </si>
  <si>
    <t>376180</t>
  </si>
  <si>
    <t>SE0207250246</t>
  </si>
  <si>
    <t>1-94</t>
  </si>
  <si>
    <t>1-3</t>
  </si>
  <si>
    <t>1-36</t>
  </si>
  <si>
    <t>1-53</t>
  </si>
  <si>
    <t>1-38</t>
  </si>
  <si>
    <t>1-91</t>
  </si>
  <si>
    <t>61X34X27</t>
  </si>
  <si>
    <t>1-44</t>
  </si>
  <si>
    <t>SE1606250468</t>
  </si>
  <si>
    <t>927113</t>
  </si>
  <si>
    <t>1412424</t>
  </si>
  <si>
    <t>842088</t>
  </si>
  <si>
    <t>MTIGL-MAX-10-03-2025</t>
  </si>
  <si>
    <t>EFOE25071584</t>
  </si>
  <si>
    <t>SE1606250463</t>
  </si>
  <si>
    <t>927112</t>
  </si>
  <si>
    <t>1412422</t>
  </si>
  <si>
    <t>842086</t>
  </si>
  <si>
    <t>1-168</t>
  </si>
  <si>
    <t>SE0206250487</t>
  </si>
  <si>
    <t>927115</t>
  </si>
  <si>
    <t>1412419</t>
  </si>
  <si>
    <t>842083</t>
  </si>
  <si>
    <t>SE0406250701</t>
  </si>
  <si>
    <t>1412417</t>
  </si>
  <si>
    <t>1-27</t>
  </si>
  <si>
    <t>SE0206250461</t>
  </si>
  <si>
    <t>443148</t>
  </si>
  <si>
    <t>1411540</t>
  </si>
  <si>
    <t>841533</t>
  </si>
  <si>
    <t>443147</t>
  </si>
  <si>
    <t>1411536</t>
  </si>
  <si>
    <t>1-43</t>
  </si>
  <si>
    <t>SE0206250464</t>
  </si>
  <si>
    <t>443149</t>
  </si>
  <si>
    <t>1411478</t>
  </si>
  <si>
    <t>841501</t>
  </si>
  <si>
    <t>1-141</t>
  </si>
  <si>
    <t>SE0206250502</t>
  </si>
  <si>
    <t>926721</t>
  </si>
  <si>
    <t>1411987</t>
  </si>
  <si>
    <t>841299</t>
  </si>
  <si>
    <t>SE0206250476</t>
  </si>
  <si>
    <t>1411982</t>
  </si>
  <si>
    <t>Pass</t>
  </si>
  <si>
    <t>Comm Pass</t>
  </si>
  <si>
    <t>EFOE25072500</t>
  </si>
  <si>
    <t>MKCL/30-577/2024</t>
  </si>
  <si>
    <t>842009</t>
  </si>
  <si>
    <t>1412317</t>
  </si>
  <si>
    <t>927094</t>
  </si>
  <si>
    <t>SE0206250440</t>
  </si>
  <si>
    <t>EFOE25072609</t>
  </si>
  <si>
    <t>J2L20252600048</t>
  </si>
  <si>
    <t>845362</t>
  </si>
  <si>
    <t>1418069</t>
  </si>
  <si>
    <t>376097</t>
  </si>
  <si>
    <t>SE0207250298</t>
  </si>
  <si>
    <t>50X33X28</t>
  </si>
  <si>
    <t>EFOE25072610</t>
  </si>
  <si>
    <t>J2L20252600050</t>
  </si>
  <si>
    <t>845365</t>
  </si>
  <si>
    <t>1418073</t>
  </si>
  <si>
    <t>376098</t>
  </si>
  <si>
    <t>SE0207250308</t>
  </si>
  <si>
    <t>1-30</t>
  </si>
  <si>
    <t>1-199</t>
  </si>
  <si>
    <t>23.07.25</t>
  </si>
  <si>
    <t>Com pass</t>
  </si>
  <si>
    <t>PASS</t>
  </si>
  <si>
    <t>EFOE25072742</t>
  </si>
  <si>
    <t>AFL/RIV/00115/25</t>
  </si>
  <si>
    <t>842360</t>
  </si>
  <si>
    <t>1412884</t>
  </si>
  <si>
    <t>376311</t>
  </si>
  <si>
    <t>SE0807250167</t>
  </si>
  <si>
    <t>60X33X44</t>
  </si>
  <si>
    <t>842367</t>
  </si>
  <si>
    <t>1412897</t>
  </si>
  <si>
    <t>376310</t>
  </si>
  <si>
    <t>EFOE25072790</t>
  </si>
  <si>
    <t>J2L20242501062</t>
  </si>
  <si>
    <t>843478</t>
  </si>
  <si>
    <t>1414941</t>
  </si>
  <si>
    <t>928126</t>
  </si>
  <si>
    <t>SE0207250375</t>
  </si>
  <si>
    <t>EFOE25072791</t>
  </si>
  <si>
    <t>J2L20252600060</t>
  </si>
  <si>
    <t>843482</t>
  </si>
  <si>
    <t>1414950</t>
  </si>
  <si>
    <t>928125</t>
  </si>
  <si>
    <t>SE0207250380</t>
  </si>
  <si>
    <t>EFOE25072851</t>
  </si>
  <si>
    <t>RI1028-25</t>
  </si>
  <si>
    <t>841573</t>
  </si>
  <si>
    <t>1411618</t>
  </si>
  <si>
    <t>375823</t>
  </si>
  <si>
    <t>SE1007250246</t>
  </si>
  <si>
    <t>EFOE25072852</t>
  </si>
  <si>
    <t>RI1029-25</t>
  </si>
  <si>
    <t>1411619</t>
  </si>
  <si>
    <t>375822</t>
  </si>
  <si>
    <t>SE1007250263</t>
  </si>
  <si>
    <t>61X33X26</t>
  </si>
  <si>
    <t>EFOE25072853</t>
  </si>
  <si>
    <t>RI1030-25</t>
  </si>
  <si>
    <t>1411621</t>
  </si>
  <si>
    <t>375821</t>
  </si>
  <si>
    <t>SE1007250272</t>
  </si>
  <si>
    <t>61X37X26</t>
  </si>
  <si>
    <t>1-42</t>
  </si>
  <si>
    <t>1-39</t>
  </si>
  <si>
    <t>1-109</t>
  </si>
  <si>
    <t>1-136</t>
  </si>
  <si>
    <t>1-25</t>
  </si>
  <si>
    <t>MEHNAZ STYLES &amp; CRAFT LTD</t>
  </si>
  <si>
    <t>EFOE25072616</t>
  </si>
  <si>
    <t>1538 25</t>
  </si>
  <si>
    <t>842054</t>
  </si>
  <si>
    <t>1412389</t>
  </si>
  <si>
    <t>927128</t>
  </si>
  <si>
    <t>SE0206250448</t>
  </si>
  <si>
    <t>1-210</t>
  </si>
  <si>
    <t>59X33X27</t>
  </si>
  <si>
    <t>1412390</t>
  </si>
  <si>
    <t>SE0406250707</t>
  </si>
  <si>
    <t>1-65</t>
  </si>
  <si>
    <t>842065</t>
  </si>
  <si>
    <t>1412401</t>
  </si>
  <si>
    <t>927130</t>
  </si>
  <si>
    <t>SE0206250453</t>
  </si>
  <si>
    <t>1-169</t>
  </si>
  <si>
    <t>EFOE25072800</t>
  </si>
  <si>
    <t>AFL/RIV/00117/25</t>
  </si>
  <si>
    <t>838741</t>
  </si>
  <si>
    <t>1406349</t>
  </si>
  <si>
    <t>376313</t>
  </si>
  <si>
    <t>SE0907250394</t>
  </si>
  <si>
    <t>1-59</t>
  </si>
  <si>
    <t>EFOE25072803</t>
  </si>
  <si>
    <t>AFL/RIV/00118/25</t>
  </si>
  <si>
    <t>838746</t>
  </si>
  <si>
    <t>1406353</t>
  </si>
  <si>
    <t>SE0807250192</t>
  </si>
  <si>
    <t>EFOE25072805</t>
  </si>
  <si>
    <t>AFL/RIV/00119/25</t>
  </si>
  <si>
    <t>1406354</t>
  </si>
  <si>
    <t>376314</t>
  </si>
  <si>
    <t>SE1707250458</t>
  </si>
  <si>
    <t>1-48</t>
  </si>
  <si>
    <t>842346</t>
  </si>
  <si>
    <t>1412865</t>
  </si>
  <si>
    <t>375687</t>
  </si>
  <si>
    <t>842535</t>
  </si>
  <si>
    <t>1413339</t>
  </si>
  <si>
    <t>1-76</t>
  </si>
  <si>
    <t>ANANTA HUAXIANG LTD</t>
  </si>
  <si>
    <t>EFOE25072832</t>
  </si>
  <si>
    <t>AHL/RVR/6814/2025</t>
  </si>
  <si>
    <t>841413</t>
  </si>
  <si>
    <t>1422068</t>
  </si>
  <si>
    <t>926757</t>
  </si>
  <si>
    <t>SE0807250242</t>
  </si>
  <si>
    <t>24.07.25</t>
  </si>
  <si>
    <t>EFOE25072715</t>
  </si>
  <si>
    <t>TDKL/008/RIVER/2025</t>
  </si>
  <si>
    <t>842622</t>
  </si>
  <si>
    <t>1413470</t>
  </si>
  <si>
    <t>927569</t>
  </si>
  <si>
    <t>SE2906250051</t>
  </si>
  <si>
    <t>61X34X33</t>
  </si>
  <si>
    <t>843640</t>
  </si>
  <si>
    <t>1415224</t>
  </si>
  <si>
    <t>928009</t>
  </si>
  <si>
    <t>SE2906250053</t>
  </si>
  <si>
    <t>S. SUHI INDUSTRIAL PARK LTD.</t>
  </si>
  <si>
    <t>EFOE25072786</t>
  </si>
  <si>
    <t xml:space="preserve">SSIPL/UBL/RI/0029/2025					</t>
  </si>
  <si>
    <t>845316</t>
  </si>
  <si>
    <t>1417989</t>
  </si>
  <si>
    <t>375200</t>
  </si>
  <si>
    <t>SE0507250074</t>
  </si>
  <si>
    <t>60X33X33</t>
  </si>
  <si>
    <t>EFOE25072794</t>
  </si>
  <si>
    <t xml:space="preserve"> SHAL/COM/43 /25</t>
  </si>
  <si>
    <t>845603</t>
  </si>
  <si>
    <t>1418462</t>
  </si>
  <si>
    <t>925373</t>
  </si>
  <si>
    <t>SE1307250013</t>
  </si>
  <si>
    <t>61X31X27</t>
  </si>
  <si>
    <t>847550</t>
  </si>
  <si>
    <t>1421739</t>
  </si>
  <si>
    <t>926148</t>
  </si>
  <si>
    <t>EFOE25072884</t>
  </si>
  <si>
    <t>CMT-1662-2025/B2312</t>
  </si>
  <si>
    <t>842949</t>
  </si>
  <si>
    <t>1413949</t>
  </si>
  <si>
    <t>927072</t>
  </si>
  <si>
    <t>SE0707250431</t>
  </si>
  <si>
    <t>51X33X33</t>
  </si>
  <si>
    <t>51X33X44</t>
  </si>
  <si>
    <t>EFOE25072889</t>
  </si>
  <si>
    <t>CMT-1663-2025/B2313</t>
  </si>
  <si>
    <t>842334</t>
  </si>
  <si>
    <t>1412845</t>
  </si>
  <si>
    <t>442965</t>
  </si>
  <si>
    <t>SE1207250083</t>
  </si>
  <si>
    <t>50X33X44</t>
  </si>
  <si>
    <t>EFOE25072893</t>
  </si>
  <si>
    <t>CMT-1664-2025/B2314</t>
  </si>
  <si>
    <t>845237</t>
  </si>
  <si>
    <t>1417844</t>
  </si>
  <si>
    <t>375748</t>
  </si>
  <si>
    <t>SE0707250435</t>
  </si>
  <si>
    <t>1417852</t>
  </si>
  <si>
    <t>845429</t>
  </si>
  <si>
    <t>1418886</t>
  </si>
  <si>
    <t>375208</t>
  </si>
  <si>
    <t>EFOE25072902</t>
  </si>
  <si>
    <t>CMT-1666-2025/B2316</t>
  </si>
  <si>
    <t>844337</t>
  </si>
  <si>
    <t>1416272</t>
  </si>
  <si>
    <t>442437</t>
  </si>
  <si>
    <t>SE0407250433</t>
  </si>
  <si>
    <t>844341</t>
  </si>
  <si>
    <t>1416274</t>
  </si>
  <si>
    <t>442436</t>
  </si>
  <si>
    <t>EFOE25072917</t>
  </si>
  <si>
    <t>CMT-1691-2025/B2341</t>
  </si>
  <si>
    <t>841945</t>
  </si>
  <si>
    <t>1412223</t>
  </si>
  <si>
    <t>927085</t>
  </si>
  <si>
    <t>SE0707250417</t>
  </si>
  <si>
    <t>841960</t>
  </si>
  <si>
    <t>1412242</t>
  </si>
  <si>
    <t>927087</t>
  </si>
  <si>
    <t>841974</t>
  </si>
  <si>
    <t>1412259</t>
  </si>
  <si>
    <t>927086</t>
  </si>
  <si>
    <t>EFOE25072926</t>
  </si>
  <si>
    <t>CMT-1692-2025/B2342</t>
  </si>
  <si>
    <t>842337</t>
  </si>
  <si>
    <t>1412851</t>
  </si>
  <si>
    <t>442966</t>
  </si>
  <si>
    <t>SE0407250432</t>
  </si>
  <si>
    <t>1412858</t>
  </si>
  <si>
    <t>442967</t>
  </si>
  <si>
    <t>1-32</t>
  </si>
  <si>
    <t>1-149</t>
  </si>
  <si>
    <t>1-144</t>
  </si>
  <si>
    <t>1-15</t>
  </si>
  <si>
    <t>1-16</t>
  </si>
  <si>
    <t>1-174</t>
  </si>
  <si>
    <t>1-70</t>
  </si>
  <si>
    <t>1-82</t>
  </si>
  <si>
    <t>1-09</t>
  </si>
  <si>
    <t>EFOE25072944</t>
  </si>
  <si>
    <t>J2L20252600061</t>
  </si>
  <si>
    <t>846573</t>
  </si>
  <si>
    <t>1419924</t>
  </si>
  <si>
    <t>926281</t>
  </si>
  <si>
    <t>SE0207250389</t>
  </si>
  <si>
    <t>EFOE25072945</t>
  </si>
  <si>
    <t>J2L20252600062</t>
  </si>
  <si>
    <t>843394</t>
  </si>
  <si>
    <t>1414804</t>
  </si>
  <si>
    <t>442662</t>
  </si>
  <si>
    <t>SE0207250397</t>
  </si>
  <si>
    <t>EFOE25072974</t>
  </si>
  <si>
    <t>CFL/RI/416/2025</t>
  </si>
  <si>
    <t>845168</t>
  </si>
  <si>
    <t>1417708</t>
  </si>
  <si>
    <t>925541</t>
  </si>
  <si>
    <t>SE2307250600</t>
  </si>
  <si>
    <t>EFOE25072976</t>
  </si>
  <si>
    <t>CFL/RI/420/2025</t>
  </si>
  <si>
    <t>845114</t>
  </si>
  <si>
    <t>1417616</t>
  </si>
  <si>
    <t>919314</t>
  </si>
  <si>
    <t>SE1307250006</t>
  </si>
  <si>
    <t>EFOE25072980</t>
  </si>
  <si>
    <t>CFL/RI/425/2025</t>
  </si>
  <si>
    <t>845111</t>
  </si>
  <si>
    <t>1417610</t>
  </si>
  <si>
    <t>919285</t>
  </si>
  <si>
    <t>SE1307250008</t>
  </si>
  <si>
    <t>1-75</t>
  </si>
  <si>
    <t>1-12</t>
  </si>
  <si>
    <t>EFOE25072989</t>
  </si>
  <si>
    <t>TDKL/009/RIVER/2025</t>
  </si>
  <si>
    <t>844483</t>
  </si>
  <si>
    <t>1416463</t>
  </si>
  <si>
    <t>928695</t>
  </si>
  <si>
    <t>SE2107250353</t>
  </si>
  <si>
    <t>1-66</t>
  </si>
  <si>
    <t>EFOE25072968</t>
  </si>
  <si>
    <t>MTIGL-MAX-05-137-2025</t>
  </si>
  <si>
    <t>841562</t>
  </si>
  <si>
    <t>1411590</t>
  </si>
  <si>
    <t>926852</t>
  </si>
  <si>
    <t>SE0206250480</t>
  </si>
  <si>
    <t>1411591</t>
  </si>
  <si>
    <t>926851</t>
  </si>
  <si>
    <t>841976</t>
  </si>
  <si>
    <t>1412264</t>
  </si>
  <si>
    <t>SE0406250699</t>
  </si>
  <si>
    <t>1-10</t>
  </si>
  <si>
    <t>EFOE25072924</t>
  </si>
  <si>
    <t>MKCL/RI/25/1291</t>
  </si>
  <si>
    <t>844841</t>
  </si>
  <si>
    <t>1417128</t>
  </si>
  <si>
    <t>375350</t>
  </si>
  <si>
    <t>SE1707250407</t>
  </si>
  <si>
    <t>60X32X32</t>
  </si>
  <si>
    <t>1417138</t>
  </si>
  <si>
    <t>375349</t>
  </si>
  <si>
    <t>1-17</t>
  </si>
  <si>
    <t>1417141</t>
  </si>
  <si>
    <t>375352</t>
  </si>
  <si>
    <t>1417143</t>
  </si>
  <si>
    <t>375353</t>
  </si>
  <si>
    <t>1417146</t>
  </si>
  <si>
    <t>375332</t>
  </si>
  <si>
    <t>1-11</t>
  </si>
  <si>
    <t>1417152</t>
  </si>
  <si>
    <t>375331</t>
  </si>
  <si>
    <t>845336</t>
  </si>
  <si>
    <t>1418022</t>
  </si>
  <si>
    <t>378127</t>
  </si>
  <si>
    <t>SE1707250413</t>
  </si>
  <si>
    <t>1-67</t>
  </si>
  <si>
    <t>845354</t>
  </si>
  <si>
    <t>1418058</t>
  </si>
  <si>
    <t>375948</t>
  </si>
  <si>
    <t>SE1907250047</t>
  </si>
  <si>
    <t>1418060</t>
  </si>
  <si>
    <t>375930</t>
  </si>
  <si>
    <t>SE1707250415</t>
  </si>
  <si>
    <t>25.07.25</t>
  </si>
  <si>
    <t>26.07.25</t>
  </si>
  <si>
    <t>27.07.25</t>
  </si>
  <si>
    <t>EFOE25073009</t>
  </si>
  <si>
    <t>CFL/RI/413/2025</t>
  </si>
  <si>
    <t>844638</t>
  </si>
  <si>
    <t>1416723</t>
  </si>
  <si>
    <t>376106</t>
  </si>
  <si>
    <t>SE1307250011</t>
  </si>
  <si>
    <t>60X32X27</t>
  </si>
  <si>
    <t>EFOE25073011</t>
  </si>
  <si>
    <t>CFL/RI/414/2025</t>
  </si>
  <si>
    <t>844635</t>
  </si>
  <si>
    <t>1416719</t>
  </si>
  <si>
    <t>376107</t>
  </si>
  <si>
    <t>SE1307250012</t>
  </si>
  <si>
    <t>60X33X26</t>
  </si>
  <si>
    <t>EFOE25073154</t>
  </si>
  <si>
    <t>BB-RI-995-2025</t>
  </si>
  <si>
    <t>843029</t>
  </si>
  <si>
    <t>1414096</t>
  </si>
  <si>
    <t>923634</t>
  </si>
  <si>
    <t>SE2007250047</t>
  </si>
  <si>
    <t>1-113</t>
  </si>
  <si>
    <t>EFOE25073158</t>
  </si>
  <si>
    <t>BB-RI-994-2025</t>
  </si>
  <si>
    <t>843009</t>
  </si>
  <si>
    <t>1414067</t>
  </si>
  <si>
    <t>923273</t>
  </si>
  <si>
    <t>SE2007250045</t>
  </si>
  <si>
    <t>1-125</t>
  </si>
  <si>
    <t>EFOE25073159</t>
  </si>
  <si>
    <t>IAL/RI/25/MBL-1027</t>
  </si>
  <si>
    <t>840116</t>
  </si>
  <si>
    <t>1408799</t>
  </si>
  <si>
    <t>443500</t>
  </si>
  <si>
    <t>SE2605250621</t>
  </si>
  <si>
    <t>1-7</t>
  </si>
  <si>
    <t>1408802</t>
  </si>
  <si>
    <t>443501</t>
  </si>
  <si>
    <t>1-56</t>
  </si>
  <si>
    <t>841109</t>
  </si>
  <si>
    <t>1410653</t>
  </si>
  <si>
    <t>443263</t>
  </si>
  <si>
    <t>SE1407250462</t>
  </si>
  <si>
    <t>61X34X28</t>
  </si>
  <si>
    <t>301</t>
  </si>
  <si>
    <t>212035</t>
  </si>
  <si>
    <t>303</t>
  </si>
  <si>
    <t>1396693</t>
  </si>
  <si>
    <t>1396549</t>
  </si>
  <si>
    <t>217777</t>
  </si>
  <si>
    <t>217781</t>
  </si>
  <si>
    <t>217785</t>
  </si>
  <si>
    <t>217699</t>
  </si>
  <si>
    <t>217790</t>
  </si>
  <si>
    <t>217771</t>
  </si>
  <si>
    <t>1391546</t>
  </si>
  <si>
    <t>1391551</t>
  </si>
  <si>
    <t>1391553</t>
  </si>
  <si>
    <t>216143</t>
  </si>
  <si>
    <t>1411121</t>
  </si>
  <si>
    <t>217311</t>
  </si>
  <si>
    <t>217316</t>
  </si>
  <si>
    <t>1396533</t>
  </si>
  <si>
    <t>175035</t>
  </si>
  <si>
    <t>218530</t>
  </si>
  <si>
    <t>220025</t>
  </si>
  <si>
    <t>220023</t>
  </si>
  <si>
    <t>220024</t>
  </si>
  <si>
    <t>1406929</t>
  </si>
  <si>
    <t>1406983</t>
  </si>
  <si>
    <t>1407012</t>
  </si>
  <si>
    <t>220887</t>
  </si>
  <si>
    <t>1408706</t>
  </si>
  <si>
    <t>1395252</t>
  </si>
  <si>
    <t>1409135</t>
  </si>
  <si>
    <t>1410338</t>
  </si>
  <si>
    <t>1410314</t>
  </si>
  <si>
    <t>1408100</t>
  </si>
  <si>
    <t>1408107</t>
  </si>
  <si>
    <t>1408115</t>
  </si>
  <si>
    <t>1413832</t>
  </si>
  <si>
    <t>1413817</t>
  </si>
  <si>
    <t>1413823</t>
  </si>
  <si>
    <t>219908</t>
  </si>
  <si>
    <t>28.07.25</t>
  </si>
  <si>
    <t>SE0207250538</t>
  </si>
  <si>
    <t>1418483</t>
  </si>
  <si>
    <t>843392</t>
  </si>
  <si>
    <t>J2L20252600070</t>
  </si>
  <si>
    <t>EFOE25073325</t>
  </si>
  <si>
    <t>SE0406250742</t>
  </si>
  <si>
    <t>1411585</t>
  </si>
  <si>
    <t>MTIGL-PENTEX-05-156-2025</t>
  </si>
  <si>
    <t>EFOE25073252</t>
  </si>
  <si>
    <t>SE1606250299</t>
  </si>
  <si>
    <t>1410303</t>
  </si>
  <si>
    <t>840925</t>
  </si>
  <si>
    <t>MTIGL-PENTEX-10-12-2025</t>
  </si>
  <si>
    <t>EFOE25073245</t>
  </si>
  <si>
    <t>1410302</t>
  </si>
  <si>
    <t>SE1507250487</t>
  </si>
  <si>
    <t>1410063</t>
  </si>
  <si>
    <t>840785</t>
  </si>
  <si>
    <t>1-50</t>
  </si>
  <si>
    <t>1-165</t>
  </si>
  <si>
    <t>1-8</t>
  </si>
  <si>
    <t>442643/1</t>
  </si>
  <si>
    <t>926854/1</t>
  </si>
  <si>
    <t>926233/1</t>
  </si>
  <si>
    <t>926411/1</t>
  </si>
  <si>
    <t>926412/1</t>
  </si>
  <si>
    <t>HAPAG</t>
  </si>
  <si>
    <t>29.07.25</t>
  </si>
  <si>
    <t>29.17.25</t>
  </si>
  <si>
    <t>27.07.28</t>
  </si>
  <si>
    <t>TLL-</t>
  </si>
  <si>
    <t>1X40HC</t>
  </si>
  <si>
    <t>60X32X26</t>
  </si>
  <si>
    <t>1-55</t>
  </si>
  <si>
    <t>SE2107250589</t>
  </si>
  <si>
    <t>378982</t>
  </si>
  <si>
    <t>1410110</t>
  </si>
  <si>
    <t>840807</t>
  </si>
  <si>
    <t>30.07.25</t>
  </si>
  <si>
    <t>RI1034-25</t>
  </si>
  <si>
    <t>EFOE25073414</t>
  </si>
  <si>
    <t>59X30X26</t>
  </si>
  <si>
    <t>SE2107250594</t>
  </si>
  <si>
    <t>378981</t>
  </si>
  <si>
    <t>1410104</t>
  </si>
  <si>
    <t>RI1033-25</t>
  </si>
  <si>
    <t>EFOE25073411</t>
  </si>
  <si>
    <t>58X33X26</t>
  </si>
  <si>
    <t>1-54</t>
  </si>
  <si>
    <t>SE2107250591</t>
  </si>
  <si>
    <t>378984</t>
  </si>
  <si>
    <t>1410096</t>
  </si>
  <si>
    <t>RI1031-25</t>
  </si>
  <si>
    <t>EFOE25073408</t>
  </si>
  <si>
    <t>SE1707250479</t>
  </si>
  <si>
    <t>375496</t>
  </si>
  <si>
    <t>1415204</t>
  </si>
  <si>
    <t>843622</t>
  </si>
  <si>
    <t>ECO-165</t>
  </si>
  <si>
    <t>EFOE25070973</t>
  </si>
  <si>
    <t>FAKIR ECO KNITWEARS LTD.</t>
  </si>
  <si>
    <t>375495</t>
  </si>
  <si>
    <t>1415202</t>
  </si>
  <si>
    <t>CONTR-02</t>
  </si>
  <si>
    <t>CONTR-03</t>
  </si>
  <si>
    <t>CONTR-04</t>
  </si>
  <si>
    <t>CONTR-05</t>
  </si>
  <si>
    <t>CONTR-06</t>
  </si>
  <si>
    <t>219909</t>
  </si>
  <si>
    <t>1431090</t>
  </si>
  <si>
    <t>1425752</t>
  </si>
  <si>
    <t>1431306</t>
  </si>
  <si>
    <t>1427601</t>
  </si>
  <si>
    <t>1417506</t>
  </si>
  <si>
    <t>1431128</t>
  </si>
  <si>
    <t>1406595</t>
  </si>
  <si>
    <t>1430822</t>
  </si>
  <si>
    <t>1430841</t>
  </si>
  <si>
    <t>1430992</t>
  </si>
  <si>
    <t>1430977</t>
  </si>
  <si>
    <t>1431228</t>
  </si>
  <si>
    <t>1431177</t>
  </si>
  <si>
    <t>1431204</t>
  </si>
  <si>
    <t>223682</t>
  </si>
  <si>
    <t>1437433</t>
  </si>
  <si>
    <t>225903</t>
  </si>
  <si>
    <t>225882</t>
  </si>
  <si>
    <t>1-62</t>
  </si>
  <si>
    <t>SE2907250064</t>
  </si>
  <si>
    <t>1418464</t>
  </si>
  <si>
    <t>01.08.25</t>
  </si>
  <si>
    <t xml:space="preserve"> SHAL/COM/44/25</t>
  </si>
  <si>
    <t>EFOE25073492</t>
  </si>
  <si>
    <t>SE1606250515</t>
  </si>
  <si>
    <t>927716</t>
  </si>
  <si>
    <t>1414120</t>
  </si>
  <si>
    <t>843034</t>
  </si>
  <si>
    <t>MTIGL-MAX-10-04-2025</t>
  </si>
  <si>
    <t>EFOE25073096</t>
  </si>
  <si>
    <t>1-49</t>
  </si>
  <si>
    <t>SE0206250444</t>
  </si>
  <si>
    <t>927122</t>
  </si>
  <si>
    <t>1412360</t>
  </si>
  <si>
    <t>842031</t>
  </si>
  <si>
    <t>SE1606250452</t>
  </si>
  <si>
    <t>927129</t>
  </si>
  <si>
    <t>1412414</t>
  </si>
  <si>
    <t>842078</t>
  </si>
  <si>
    <t>1707 27</t>
  </si>
  <si>
    <t>EFOE25073420</t>
  </si>
  <si>
    <t>SE1606250448</t>
  </si>
  <si>
    <t>927127</t>
  </si>
  <si>
    <t>1412408</t>
  </si>
  <si>
    <t>842073</t>
  </si>
  <si>
    <t>62X33X32</t>
  </si>
  <si>
    <t>1-107</t>
  </si>
  <si>
    <t>SE2607250044</t>
  </si>
  <si>
    <t>926693</t>
  </si>
  <si>
    <t>1410937</t>
  </si>
  <si>
    <t>841260</t>
  </si>
  <si>
    <t>02.08.25</t>
  </si>
  <si>
    <t>CMT-1750-2025/B2434</t>
  </si>
  <si>
    <t>EFOE25073589</t>
  </si>
  <si>
    <t>1-83</t>
  </si>
  <si>
    <t>SE2207250227</t>
  </si>
  <si>
    <t>930021</t>
  </si>
  <si>
    <t>1420132</t>
  </si>
  <si>
    <t>846694</t>
  </si>
  <si>
    <t>AHL/RVR/6817/2025</t>
  </si>
  <si>
    <t>EFOE25073648</t>
  </si>
  <si>
    <t>1-152</t>
  </si>
  <si>
    <t>SE2207250212</t>
  </si>
  <si>
    <t>930020</t>
  </si>
  <si>
    <t>1420131</t>
  </si>
  <si>
    <t>AHL/RVR/6816/2025</t>
  </si>
  <si>
    <t>EFOE25073646</t>
  </si>
  <si>
    <t>1.53</t>
  </si>
  <si>
    <t>SE1407250343</t>
  </si>
  <si>
    <t>376331</t>
  </si>
  <si>
    <t>1416396</t>
  </si>
  <si>
    <t>844434</t>
  </si>
  <si>
    <t>TBTIL/RICCL-015/005/2025</t>
  </si>
  <si>
    <t>EFOE25072677</t>
  </si>
  <si>
    <t>60X33X25</t>
  </si>
  <si>
    <t>376330</t>
  </si>
  <si>
    <t>1416394</t>
  </si>
  <si>
    <t>1-13</t>
  </si>
  <si>
    <t>SE1407250513</t>
  </si>
  <si>
    <t>442329</t>
  </si>
  <si>
    <t>1417357</t>
  </si>
  <si>
    <t>844960</t>
  </si>
  <si>
    <t>CMT-1768-2025/B2438</t>
  </si>
  <si>
    <t>EFOE25073485</t>
  </si>
  <si>
    <t>442330</t>
  </si>
  <si>
    <t>1417352</t>
  </si>
  <si>
    <t>844957</t>
  </si>
  <si>
    <t>442331</t>
  </si>
  <si>
    <t>1417340</t>
  </si>
  <si>
    <t>844945</t>
  </si>
  <si>
    <t>442332</t>
  </si>
  <si>
    <t>1417337</t>
  </si>
  <si>
    <t>844941</t>
  </si>
  <si>
    <t>SE1407250477</t>
  </si>
  <si>
    <t xml:space="preserve">442965 </t>
  </si>
  <si>
    <t>1419030</t>
  </si>
  <si>
    <t>CMT-1747-2025/B2422</t>
  </si>
  <si>
    <t>EFOE25073479</t>
  </si>
  <si>
    <t>1-93</t>
  </si>
  <si>
    <t>443656</t>
  </si>
  <si>
    <t>1419026</t>
  </si>
  <si>
    <t>839473</t>
  </si>
  <si>
    <t>1-4</t>
  </si>
  <si>
    <t>SE1407250482</t>
  </si>
  <si>
    <t>1419029</t>
  </si>
  <si>
    <t>CMT-1749-2025/B2433</t>
  </si>
  <si>
    <t>EFOE25073472</t>
  </si>
  <si>
    <t>1419028</t>
  </si>
  <si>
    <t>443654</t>
  </si>
  <si>
    <t>1419023</t>
  </si>
  <si>
    <t>839474</t>
  </si>
  <si>
    <t>1-33</t>
  </si>
  <si>
    <t>443655</t>
  </si>
  <si>
    <t>1419022</t>
  </si>
  <si>
    <t>SE1407250518</t>
  </si>
  <si>
    <t>799004</t>
  </si>
  <si>
    <t>1420262</t>
  </si>
  <si>
    <t>846724</t>
  </si>
  <si>
    <t>CMT-1743-2025/B2414</t>
  </si>
  <si>
    <t>EFOE25073468</t>
  </si>
  <si>
    <t>1-20</t>
  </si>
  <si>
    <t>1420259</t>
  </si>
  <si>
    <t>846722</t>
  </si>
  <si>
    <t>1420198</t>
  </si>
  <si>
    <t>846712</t>
  </si>
  <si>
    <t>1420155</t>
  </si>
  <si>
    <t>846702</t>
  </si>
  <si>
    <t>SE1407250517</t>
  </si>
  <si>
    <t>927089</t>
  </si>
  <si>
    <t>1412279</t>
  </si>
  <si>
    <t>841987</t>
  </si>
  <si>
    <t>CMT-1742-2025/B2413</t>
  </si>
  <si>
    <t>EFOE25073465</t>
  </si>
  <si>
    <t>1453418</t>
  </si>
  <si>
    <t>1453446</t>
  </si>
  <si>
    <t>1453521</t>
  </si>
  <si>
    <t>1453585</t>
  </si>
  <si>
    <t>1452389</t>
  </si>
  <si>
    <t xml:space="preserve">TED BERNHARDTZ TEXTILE INDUSTRY </t>
  </si>
  <si>
    <t>228509</t>
  </si>
  <si>
    <t>228514</t>
  </si>
  <si>
    <t>1453360</t>
  </si>
  <si>
    <t>CONTR-07</t>
  </si>
  <si>
    <t>TTL</t>
  </si>
  <si>
    <t>SE2907250308</t>
  </si>
  <si>
    <t>376208/1</t>
  </si>
  <si>
    <t>1413359</t>
  </si>
  <si>
    <t>842524</t>
  </si>
  <si>
    <t>BHML-BTX-RIV-349-2025</t>
  </si>
  <si>
    <t>EFOE25073510</t>
  </si>
  <si>
    <t>SE0707250538</t>
  </si>
  <si>
    <t>376112</t>
  </si>
  <si>
    <t>1413320</t>
  </si>
  <si>
    <t>SE0707250522</t>
  </si>
  <si>
    <t>376201</t>
  </si>
  <si>
    <t>1413319</t>
  </si>
  <si>
    <t>376198</t>
  </si>
  <si>
    <t>1413318</t>
  </si>
  <si>
    <t>376199</t>
  </si>
  <si>
    <t>1413315</t>
  </si>
  <si>
    <t>376205</t>
  </si>
  <si>
    <t>1413312</t>
  </si>
  <si>
    <t>CONTR-08</t>
  </si>
  <si>
    <t>HAMU1222389-40HC</t>
  </si>
  <si>
    <t>HLC2989712</t>
  </si>
  <si>
    <t>FANU3735464-40HC</t>
  </si>
  <si>
    <t>HLC2989713</t>
  </si>
  <si>
    <t>BSIU9594940-40HC</t>
  </si>
  <si>
    <t>HLC2989721</t>
  </si>
  <si>
    <t>FANU1075417-40HC</t>
  </si>
  <si>
    <t>HLC2989722</t>
  </si>
  <si>
    <t>FSCU7183453-40HC</t>
  </si>
  <si>
    <t>HLC2989784</t>
  </si>
  <si>
    <t>FANU1569127-40HC</t>
  </si>
  <si>
    <t>HLC2985201</t>
  </si>
  <si>
    <t>HAMU1482555-40HC</t>
  </si>
  <si>
    <t>HLC2985202</t>
  </si>
  <si>
    <t>CW REF</t>
  </si>
  <si>
    <t>S02016921</t>
  </si>
  <si>
    <t>S02011317</t>
  </si>
  <si>
    <t>S02009488</t>
  </si>
  <si>
    <t>S02011319</t>
  </si>
  <si>
    <t>S02011986</t>
  </si>
  <si>
    <t>S02011987</t>
  </si>
  <si>
    <t>S02012957</t>
  </si>
  <si>
    <t>S02012927</t>
  </si>
  <si>
    <t>S02014884</t>
  </si>
  <si>
    <t>S02014865</t>
  </si>
  <si>
    <t>S02011310</t>
  </si>
  <si>
    <t>S02011985</t>
  </si>
  <si>
    <t>S02012000</t>
  </si>
  <si>
    <t>S02011998</t>
  </si>
  <si>
    <t>S02011997</t>
  </si>
  <si>
    <t>S02012001</t>
  </si>
  <si>
    <t>S02011999</t>
  </si>
  <si>
    <t>S02012002</t>
  </si>
  <si>
    <t>S02011988</t>
  </si>
  <si>
    <t>S02011321</t>
  </si>
  <si>
    <t>S02011323</t>
  </si>
  <si>
    <t>S02011311</t>
  </si>
  <si>
    <t>S02011324</t>
  </si>
  <si>
    <t>S02011312</t>
  </si>
  <si>
    <t>S02011331</t>
  </si>
  <si>
    <t>S02011308</t>
  </si>
  <si>
    <t>S02011307</t>
  </si>
  <si>
    <t>S02011984</t>
  </si>
  <si>
    <t>S02012897</t>
  </si>
  <si>
    <t>S02012898</t>
  </si>
  <si>
    <t>S02012899</t>
  </si>
  <si>
    <t>S02012928</t>
  </si>
  <si>
    <t>S02014875</t>
  </si>
  <si>
    <t>S02014889</t>
  </si>
  <si>
    <t>S02014881</t>
  </si>
  <si>
    <t>S02014882</t>
  </si>
  <si>
    <t>S02014873</t>
  </si>
  <si>
    <t>S02014878</t>
  </si>
  <si>
    <t>S02014874</t>
  </si>
  <si>
    <t>S02014885</t>
  </si>
  <si>
    <t>S02014880</t>
  </si>
  <si>
    <t>S02014891</t>
  </si>
  <si>
    <t>S02014866</t>
  </si>
  <si>
    <t>S02014869</t>
  </si>
  <si>
    <t>S02014872</t>
  </si>
  <si>
    <t>S02014883</t>
  </si>
  <si>
    <t>S02014887</t>
  </si>
  <si>
    <t>S02014876</t>
  </si>
  <si>
    <t>S02014890</t>
  </si>
  <si>
    <t>S02014877</t>
  </si>
  <si>
    <t>S02014888</t>
  </si>
  <si>
    <t>S02014886</t>
  </si>
  <si>
    <t>S02014879</t>
  </si>
  <si>
    <t>S02014870</t>
  </si>
  <si>
    <t>S02014871</t>
  </si>
  <si>
    <t>S02014905</t>
  </si>
  <si>
    <t>S02014906</t>
  </si>
  <si>
    <t>S02014908</t>
  </si>
  <si>
    <t>S02014907</t>
  </si>
  <si>
    <t>S02015178</t>
  </si>
  <si>
    <t>S02015179</t>
  </si>
  <si>
    <t>S02015186</t>
  </si>
  <si>
    <t>S02015185</t>
  </si>
  <si>
    <t>S02015187</t>
  </si>
  <si>
    <t>S02015180</t>
  </si>
  <si>
    <t>S02016922</t>
  </si>
  <si>
    <t>S02016918</t>
  </si>
  <si>
    <t>S02016920</t>
  </si>
  <si>
    <t>S02020396</t>
  </si>
  <si>
    <t>S02020398</t>
  </si>
  <si>
    <t>S02020399</t>
  </si>
  <si>
    <t>S02020397</t>
  </si>
  <si>
    <t>S02018316</t>
  </si>
  <si>
    <t>S02019379</t>
  </si>
  <si>
    <t>S02018307</t>
  </si>
  <si>
    <t>S02018336</t>
  </si>
  <si>
    <t>S02018309</t>
  </si>
  <si>
    <t>S02019377</t>
  </si>
  <si>
    <t>S02019383</t>
  </si>
  <si>
    <t>S02019380</t>
  </si>
  <si>
    <t>S02019396</t>
  </si>
  <si>
    <t>S02019397</t>
  </si>
  <si>
    <t>S02019398</t>
  </si>
  <si>
    <t>S02019399</t>
  </si>
  <si>
    <t>S02018334</t>
  </si>
  <si>
    <t>S02018333</t>
  </si>
  <si>
    <t>S02018946</t>
  </si>
  <si>
    <t>S02018335</t>
  </si>
  <si>
    <t>S02018308</t>
  </si>
  <si>
    <t>LOD.SC</t>
  </si>
  <si>
    <t>10</t>
  </si>
  <si>
    <t>11</t>
  </si>
  <si>
    <t>12</t>
  </si>
  <si>
    <t>1</t>
  </si>
  <si>
    <t>15</t>
  </si>
  <si>
    <t>16</t>
  </si>
  <si>
    <t>2</t>
  </si>
  <si>
    <t>3</t>
  </si>
  <si>
    <t>4</t>
  </si>
  <si>
    <t>5</t>
  </si>
  <si>
    <t>24</t>
  </si>
  <si>
    <t>25</t>
  </si>
  <si>
    <t>8</t>
  </si>
  <si>
    <t>9</t>
  </si>
  <si>
    <t>13</t>
  </si>
  <si>
    <t>14</t>
  </si>
  <si>
    <t>6</t>
  </si>
  <si>
    <t>7</t>
  </si>
  <si>
    <t>17</t>
  </si>
  <si>
    <t>18</t>
  </si>
  <si>
    <t>19</t>
  </si>
  <si>
    <t>20</t>
  </si>
  <si>
    <t>21</t>
  </si>
  <si>
    <t>S02011318 </t>
  </si>
  <si>
    <t>S02011320 </t>
  </si>
  <si>
    <t>S02011313 </t>
  </si>
  <si>
    <t>S02011327 </t>
  </si>
  <si>
    <t>S02011315 </t>
  </si>
  <si>
    <t>S02011309 </t>
  </si>
  <si>
    <t>S02011325 </t>
  </si>
  <si>
    <t>S02011326 </t>
  </si>
  <si>
    <t>LOD.SQ</t>
  </si>
  <si>
    <t>22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</si>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</sst>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dd\-mmm\-yy"/>
  </numFmts>
  <fonts count="26" x14ac:knownFonts="1">
    <font>
      <sz val="10"/>
      <name val="Arial"/>
      <family val="2"/>
    </font>
    <font>
      <sz val="11"/>
      <name val="Calibri"/>
      <family val="2"/>
    </font>
    <font>
      <b/>
      <sz val="10"/>
      <name val="Tahoma"/>
      <family val="2"/>
    </font>
    <font>
      <sz val="9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11"/>
      <name val="Aptos Narrow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b/>
      <sz val="8"/>
      <name val="Tahoma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4" fillId="0" borderId="0" xfId="0" applyFont="1" applyFill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164" fontId="10" fillId="0" borderId="7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/>
    </xf>
    <xf numFmtId="0" fontId="9" fillId="0" borderId="7" xfId="0" quotePrefix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3" fillId="0" borderId="7" xfId="0" applyFont="1" applyFill="1" applyBorder="1" applyAlignment="1">
      <alignment horizontal="center" vertical="center"/>
    </xf>
    <xf numFmtId="165" fontId="3" fillId="0" borderId="7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164" fontId="10" fillId="0" borderId="5" xfId="0" applyNumberFormat="1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/>
    </xf>
    <xf numFmtId="0" fontId="9" fillId="0" borderId="5" xfId="0" quotePrefix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65" fontId="3" fillId="0" borderId="5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64" fontId="8" fillId="0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64" fontId="5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164" fontId="13" fillId="0" borderId="5" xfId="0" applyNumberFormat="1" applyFont="1" applyFill="1" applyBorder="1" applyAlignment="1">
      <alignment horizontal="center" vertical="center"/>
    </xf>
    <xf numFmtId="0" fontId="4" fillId="0" borderId="5" xfId="0" quotePrefix="1" applyFont="1" applyFill="1" applyBorder="1" applyAlignment="1">
      <alignment horizontal="center" vertical="center"/>
    </xf>
    <xf numFmtId="17" fontId="4" fillId="0" borderId="5" xfId="0" quotePrefix="1" applyNumberFormat="1" applyFont="1" applyFill="1" applyBorder="1" applyAlignment="1">
      <alignment horizontal="center" vertical="center"/>
    </xf>
    <xf numFmtId="49" fontId="4" fillId="0" borderId="5" xfId="0" quotePrefix="1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/>
    </xf>
    <xf numFmtId="0" fontId="14" fillId="0" borderId="5" xfId="0" applyFont="1" applyFill="1" applyBorder="1" applyAlignment="1">
      <alignment horizontal="center"/>
    </xf>
    <xf numFmtId="164" fontId="5" fillId="0" borderId="5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23" fillId="0" borderId="5" xfId="0" applyFont="1" applyFill="1" applyBorder="1"/>
    <xf numFmtId="0" fontId="14" fillId="0" borderId="11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/>
    </xf>
    <xf numFmtId="164" fontId="5" fillId="0" borderId="12" xfId="0" applyNumberFormat="1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164" fontId="13" fillId="0" borderId="12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164" fontId="13" fillId="0" borderId="7" xfId="0" applyNumberFormat="1" applyFont="1" applyFill="1" applyBorder="1" applyAlignment="1">
      <alignment horizontal="center" vertical="center"/>
    </xf>
    <xf numFmtId="0" fontId="4" fillId="0" borderId="7" xfId="0" quotePrefix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164" fontId="5" fillId="0" borderId="7" xfId="0" applyNumberFormat="1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/>
    </xf>
    <xf numFmtId="0" fontId="14" fillId="0" borderId="7" xfId="0" applyFont="1" applyFill="1" applyBorder="1" applyAlignment="1">
      <alignment horizontal="center"/>
    </xf>
    <xf numFmtId="164" fontId="15" fillId="0" borderId="5" xfId="0" applyNumberFormat="1" applyFont="1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/>
    </xf>
    <xf numFmtId="164" fontId="17" fillId="0" borderId="5" xfId="0" applyNumberFormat="1" applyFont="1" applyFill="1" applyBorder="1" applyAlignment="1">
      <alignment horizontal="center"/>
    </xf>
    <xf numFmtId="0" fontId="16" fillId="0" borderId="5" xfId="0" quotePrefix="1" applyFont="1" applyFill="1" applyBorder="1" applyAlignment="1">
      <alignment horizontal="center"/>
    </xf>
    <xf numFmtId="0" fontId="18" fillId="0" borderId="9" xfId="0" applyFont="1" applyFill="1" applyBorder="1" applyAlignment="1">
      <alignment horizontal="center"/>
    </xf>
    <xf numFmtId="0" fontId="18" fillId="0" borderId="5" xfId="0" applyFont="1" applyFill="1" applyBorder="1" applyAlignment="1">
      <alignment horizontal="center"/>
    </xf>
    <xf numFmtId="164" fontId="19" fillId="0" borderId="5" xfId="0" applyNumberFormat="1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164" fontId="19" fillId="0" borderId="12" xfId="0" applyNumberFormat="1" applyFont="1" applyFill="1" applyBorder="1" applyAlignment="1">
      <alignment horizontal="center"/>
    </xf>
    <xf numFmtId="0" fontId="20" fillId="0" borderId="6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64" fontId="21" fillId="0" borderId="7" xfId="0" applyNumberFormat="1" applyFont="1" applyFill="1" applyBorder="1" applyAlignment="1">
      <alignment horizontal="center" vertical="center"/>
    </xf>
    <xf numFmtId="17" fontId="3" fillId="0" borderId="7" xfId="0" quotePrefix="1" applyNumberFormat="1" applyFont="1" applyFill="1" applyBorder="1" applyAlignment="1">
      <alignment horizontal="center" vertical="center"/>
    </xf>
    <xf numFmtId="49" fontId="3" fillId="0" borderId="7" xfId="0" quotePrefix="1" applyNumberFormat="1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164" fontId="21" fillId="0" borderId="5" xfId="0" applyNumberFormat="1" applyFont="1" applyFill="1" applyBorder="1" applyAlignment="1">
      <alignment horizontal="center" vertical="center"/>
    </xf>
    <xf numFmtId="17" fontId="3" fillId="0" borderId="5" xfId="0" quotePrefix="1" applyNumberFormat="1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49" fontId="3" fillId="0" borderId="5" xfId="0" quotePrefix="1" applyNumberFormat="1" applyFont="1" applyFill="1" applyBorder="1" applyAlignment="1">
      <alignment horizontal="center" vertical="center"/>
    </xf>
    <xf numFmtId="17" fontId="3" fillId="0" borderId="5" xfId="0" quotePrefix="1" applyNumberFormat="1" applyFont="1" applyFill="1" applyBorder="1" applyAlignment="1">
      <alignment horizontal="center"/>
    </xf>
    <xf numFmtId="49" fontId="3" fillId="0" borderId="5" xfId="0" quotePrefix="1" applyNumberFormat="1" applyFont="1" applyFill="1" applyBorder="1" applyAlignment="1">
      <alignment horizontal="center"/>
    </xf>
    <xf numFmtId="0" fontId="3" fillId="0" borderId="5" xfId="0" quotePrefix="1" applyFont="1" applyFill="1" applyBorder="1" applyAlignment="1">
      <alignment horizontal="center"/>
    </xf>
    <xf numFmtId="0" fontId="1" fillId="0" borderId="5" xfId="0" applyFont="1" applyFill="1" applyBorder="1"/>
  </cellXfs>
  <cellStyles count="1">
    <cellStyle name="Normal" xfId="0" builtinId="0"/>
  </cellStyles>
  <dxfs count="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120650</xdr:rowOff>
    </xdr:from>
    <xdr:to>
      <xdr:col>1</xdr:col>
      <xdr:colOff>241300</xdr:colOff>
      <xdr:row>2</xdr:row>
      <xdr:rowOff>88900</xdr:rowOff>
    </xdr:to>
    <xdr:pic>
      <xdr:nvPicPr>
        <xdr:cNvPr id="145435" name="Picture 1973973628" descr="image">
          <a:extLst>
            <a:ext uri="{FF2B5EF4-FFF2-40B4-BE49-F238E27FC236}">
              <a16:creationId xmlns:a16="http://schemas.microsoft.com/office/drawing/2014/main" id="{C16CB2CC-CDCB-A86A-C9E0-5B810657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120650"/>
          <a:ext cx="21018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E7B1-C370-4A5B-B2D1-AFD451B339AE}">
  <sheetPr>
    <pageSetUpPr fitToPage="1"/>
  </sheetPr>
  <dimension ref="A2:AC257"/>
  <sheetViews>
    <sheetView tabSelected="1" topLeftCell="D190" zoomScaleNormal="100" workbookViewId="0">
      <selection activeCell="I204" sqref="I204"/>
    </sheetView>
  </sheetViews>
  <sheetFormatPr defaultColWidth="9.21875" defaultRowHeight="13.2" x14ac:dyDescent="0.25"/>
  <cols>
    <col min="1" max="1" width="28.21875" style="1" bestFit="1" customWidth="1"/>
    <col min="2" max="2" width="33" style="1" bestFit="1" customWidth="1"/>
    <col min="3" max="3" width="13.21875" style="1" bestFit="1" customWidth="1"/>
    <col min="4" max="4" width="30.21875" style="1" bestFit="1" customWidth="1"/>
    <col min="5" max="5" width="13.77734375" style="1" bestFit="1" customWidth="1"/>
    <col min="6" max="6" width="10" style="1" bestFit="1" customWidth="1"/>
    <col min="7" max="8" width="8" style="1" bestFit="1" customWidth="1"/>
    <col min="9" max="9" width="12.21875" style="1" bestFit="1" customWidth="1"/>
    <col min="10" max="10" width="13.21875" style="1" bestFit="1" customWidth="1"/>
    <col min="11" max="11" width="13.21875" style="1" customWidth="1"/>
    <col min="12" max="12" width="12.5546875" style="1" bestFit="1" customWidth="1"/>
    <col min="13" max="13" width="12.5546875" style="1" customWidth="1"/>
    <col min="14" max="14" width="11" style="1" bestFit="1" customWidth="1"/>
    <col min="15" max="15" width="5.77734375" style="1" customWidth="1"/>
    <col min="16" max="16" width="6.21875" style="1" bestFit="1" customWidth="1"/>
    <col min="17" max="18" width="7.109375" style="1" bestFit="1" customWidth="1"/>
    <col min="19" max="19" width="10.77734375" style="1" bestFit="1" customWidth="1"/>
    <col min="20" max="20" width="8.21875" style="1" bestFit="1" customWidth="1"/>
    <col min="21" max="21" width="17" style="1" bestFit="1" customWidth="1"/>
    <col min="22" max="22" width="9.21875" style="1" bestFit="1" customWidth="1"/>
    <col min="23" max="23" width="11" style="1" bestFit="1" customWidth="1"/>
    <col min="24" max="24" width="17.21875" style="1" bestFit="1" customWidth="1"/>
    <col min="25" max="25" width="11" style="1" bestFit="1" customWidth="1"/>
    <col min="26" max="26" width="9" style="1" bestFit="1" customWidth="1"/>
    <col min="27" max="27" width="9.21875" style="1" bestFit="1" customWidth="1"/>
    <col min="28" max="29" width="7.77734375" style="1" bestFit="1" customWidth="1"/>
    <col min="30" max="16384" width="9.21875" style="1"/>
  </cols>
  <sheetData>
    <row r="2" spans="1:29" ht="13.8" thickBot="1" x14ac:dyDescent="0.3"/>
    <row r="3" spans="1:29" ht="13.8" thickBot="1" x14ac:dyDescent="0.3">
      <c r="C3" s="2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spans="1:29" ht="13.8" thickBot="1" x14ac:dyDescent="0.3"/>
    <row r="5" spans="1:29" ht="13.8" thickBot="1" x14ac:dyDescent="0.3">
      <c r="E5" s="2" t="s"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</row>
    <row r="6" spans="1:29" x14ac:dyDescent="0.25"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9" x14ac:dyDescent="0.25"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10" spans="1:29" ht="13.8" thickBot="1" x14ac:dyDescent="0.3"/>
    <row r="11" spans="1:29" ht="13.8" thickBot="1" x14ac:dyDescent="0.3">
      <c r="A11" s="6" t="s">
        <v>677</v>
      </c>
    </row>
    <row r="12" spans="1:29" ht="13.8" thickBot="1" x14ac:dyDescent="0.3">
      <c r="A12" s="7" t="s">
        <v>2</v>
      </c>
      <c r="B12" s="8" t="s">
        <v>3</v>
      </c>
      <c r="C12" s="8" t="s">
        <v>4</v>
      </c>
      <c r="D12" s="8" t="s">
        <v>5</v>
      </c>
      <c r="E12" s="8" t="s">
        <v>6</v>
      </c>
      <c r="F12" s="8" t="s">
        <v>7</v>
      </c>
      <c r="G12" s="8" t="s">
        <v>8</v>
      </c>
      <c r="H12" s="8" t="s">
        <v>9</v>
      </c>
      <c r="I12" s="8" t="s">
        <v>10</v>
      </c>
      <c r="J12" s="8" t="s">
        <v>11</v>
      </c>
      <c r="K12" s="8" t="s">
        <v>860</v>
      </c>
      <c r="L12" s="8" t="s">
        <v>12</v>
      </c>
      <c r="M12" s="8" t="s">
        <v>982</v>
      </c>
      <c r="N12" s="8" t="s">
        <v>13</v>
      </c>
      <c r="O12" s="8" t="s">
        <v>14</v>
      </c>
      <c r="P12" s="8" t="s">
        <v>15</v>
      </c>
      <c r="Q12" s="8" t="s">
        <v>16</v>
      </c>
      <c r="R12" s="8" t="s">
        <v>17</v>
      </c>
      <c r="S12" s="8" t="s">
        <v>18</v>
      </c>
      <c r="T12" s="8" t="s">
        <v>19</v>
      </c>
      <c r="U12" s="8" t="s">
        <v>20</v>
      </c>
      <c r="V12" s="8" t="s">
        <v>21</v>
      </c>
      <c r="W12" s="9" t="s">
        <v>22</v>
      </c>
      <c r="X12" s="10" t="s">
        <v>23</v>
      </c>
      <c r="Y12" s="11" t="s">
        <v>24</v>
      </c>
      <c r="Z12" s="12" t="s">
        <v>25</v>
      </c>
      <c r="AA12" s="8" t="s">
        <v>26</v>
      </c>
      <c r="AB12" s="8" t="s">
        <v>27</v>
      </c>
      <c r="AC12" s="13" t="s">
        <v>28</v>
      </c>
    </row>
    <row r="13" spans="1:29" ht="13.8" thickBot="1" x14ac:dyDescent="0.3">
      <c r="A13" s="14" t="s">
        <v>29</v>
      </c>
      <c r="B13" s="15" t="s">
        <v>53</v>
      </c>
      <c r="C13" s="15" t="s">
        <v>98</v>
      </c>
      <c r="D13" s="15" t="s">
        <v>97</v>
      </c>
      <c r="E13" s="16">
        <v>45859.73819444445</v>
      </c>
      <c r="F13" s="16" t="s">
        <v>352</v>
      </c>
      <c r="G13" s="15" t="s">
        <v>110</v>
      </c>
      <c r="H13" s="15" t="s">
        <v>109</v>
      </c>
      <c r="I13" s="15" t="s">
        <v>108</v>
      </c>
      <c r="J13" s="15" t="s">
        <v>107</v>
      </c>
      <c r="K13" s="17" t="s">
        <v>976</v>
      </c>
      <c r="L13" s="18" t="s">
        <v>43</v>
      </c>
      <c r="M13" s="18">
        <v>1</v>
      </c>
      <c r="N13" s="15" t="s">
        <v>92</v>
      </c>
      <c r="O13" s="15">
        <v>321</v>
      </c>
      <c r="P13" s="15">
        <v>26</v>
      </c>
      <c r="Q13" s="15">
        <v>1000</v>
      </c>
      <c r="R13" s="15">
        <v>1.59</v>
      </c>
      <c r="S13" s="15">
        <v>317.7</v>
      </c>
      <c r="T13" s="15" t="s">
        <v>31</v>
      </c>
      <c r="U13" s="15" t="s">
        <v>32</v>
      </c>
      <c r="V13" s="19" t="s">
        <v>640</v>
      </c>
      <c r="W13" s="19" t="s">
        <v>50</v>
      </c>
      <c r="X13" s="20" t="s">
        <v>846</v>
      </c>
      <c r="Y13" s="20" t="s">
        <v>847</v>
      </c>
      <c r="Z13" s="21" t="s">
        <v>576</v>
      </c>
      <c r="AA13" s="22">
        <v>45862</v>
      </c>
      <c r="AB13" s="21" t="s">
        <v>573</v>
      </c>
      <c r="AC13" s="23"/>
    </row>
    <row r="14" spans="1:29" ht="13.8" thickBot="1" x14ac:dyDescent="0.25">
      <c r="A14" s="24" t="s">
        <v>29</v>
      </c>
      <c r="B14" s="25" t="s">
        <v>53</v>
      </c>
      <c r="C14" s="25" t="s">
        <v>98</v>
      </c>
      <c r="D14" s="25" t="s">
        <v>97</v>
      </c>
      <c r="E14" s="26">
        <v>45859.73819444445</v>
      </c>
      <c r="F14" s="26" t="s">
        <v>352</v>
      </c>
      <c r="G14" s="25" t="s">
        <v>106</v>
      </c>
      <c r="H14" s="25" t="s">
        <v>105</v>
      </c>
      <c r="I14" s="25" t="s">
        <v>104</v>
      </c>
      <c r="J14" s="25" t="s">
        <v>103</v>
      </c>
      <c r="K14" s="27" t="s">
        <v>974</v>
      </c>
      <c r="L14" s="28" t="s">
        <v>102</v>
      </c>
      <c r="M14" s="18">
        <v>2</v>
      </c>
      <c r="N14" s="25" t="s">
        <v>92</v>
      </c>
      <c r="O14" s="25">
        <v>321</v>
      </c>
      <c r="P14" s="25">
        <v>167</v>
      </c>
      <c r="Q14" s="25">
        <v>4000</v>
      </c>
      <c r="R14" s="25">
        <v>10.18</v>
      </c>
      <c r="S14" s="25">
        <v>2353.1</v>
      </c>
      <c r="T14" s="25" t="s">
        <v>31</v>
      </c>
      <c r="U14" s="25" t="s">
        <v>32</v>
      </c>
      <c r="V14" s="29" t="s">
        <v>640</v>
      </c>
      <c r="W14" s="29" t="s">
        <v>50</v>
      </c>
      <c r="X14" s="29"/>
      <c r="Y14" s="29"/>
      <c r="Z14" s="29"/>
      <c r="AA14" s="29"/>
      <c r="AB14" s="29"/>
      <c r="AC14" s="30"/>
    </row>
    <row r="15" spans="1:29" ht="13.8" thickBot="1" x14ac:dyDescent="0.25">
      <c r="A15" s="24" t="s">
        <v>29</v>
      </c>
      <c r="B15" s="25" t="s">
        <v>53</v>
      </c>
      <c r="C15" s="25" t="s">
        <v>98</v>
      </c>
      <c r="D15" s="25" t="s">
        <v>97</v>
      </c>
      <c r="E15" s="26">
        <v>45859.73819444445</v>
      </c>
      <c r="F15" s="26" t="s">
        <v>352</v>
      </c>
      <c r="G15" s="25" t="s">
        <v>52</v>
      </c>
      <c r="H15" s="25" t="s">
        <v>101</v>
      </c>
      <c r="I15" s="25" t="s">
        <v>51</v>
      </c>
      <c r="J15" s="25" t="s">
        <v>100</v>
      </c>
      <c r="K15" s="27" t="s">
        <v>975</v>
      </c>
      <c r="L15" s="28" t="s">
        <v>99</v>
      </c>
      <c r="M15" s="18">
        <v>3</v>
      </c>
      <c r="N15" s="25" t="s">
        <v>92</v>
      </c>
      <c r="O15" s="25">
        <v>321</v>
      </c>
      <c r="P15" s="25">
        <v>60</v>
      </c>
      <c r="Q15" s="25">
        <v>1700</v>
      </c>
      <c r="R15" s="25">
        <v>3.66</v>
      </c>
      <c r="S15" s="25">
        <v>764.4</v>
      </c>
      <c r="T15" s="25" t="s">
        <v>31</v>
      </c>
      <c r="U15" s="25" t="s">
        <v>32</v>
      </c>
      <c r="V15" s="29" t="s">
        <v>640</v>
      </c>
      <c r="W15" s="29" t="s">
        <v>50</v>
      </c>
      <c r="X15" s="29"/>
      <c r="Y15" s="29"/>
      <c r="Z15" s="29"/>
      <c r="AA15" s="29"/>
      <c r="AB15" s="29"/>
      <c r="AC15" s="30"/>
    </row>
    <row r="16" spans="1:29" ht="13.8" thickBot="1" x14ac:dyDescent="0.25">
      <c r="A16" s="24" t="s">
        <v>29</v>
      </c>
      <c r="B16" s="25" t="s">
        <v>53</v>
      </c>
      <c r="C16" s="25" t="s">
        <v>98</v>
      </c>
      <c r="D16" s="25" t="s">
        <v>97</v>
      </c>
      <c r="E16" s="26">
        <v>45859.73819444445</v>
      </c>
      <c r="F16" s="26" t="s">
        <v>352</v>
      </c>
      <c r="G16" s="25" t="s">
        <v>96</v>
      </c>
      <c r="H16" s="25" t="s">
        <v>95</v>
      </c>
      <c r="I16" s="25" t="s">
        <v>94</v>
      </c>
      <c r="J16" s="25" t="s">
        <v>93</v>
      </c>
      <c r="K16" s="27" t="s">
        <v>977</v>
      </c>
      <c r="L16" s="28" t="s">
        <v>54</v>
      </c>
      <c r="M16" s="18">
        <v>4</v>
      </c>
      <c r="N16" s="25" t="s">
        <v>92</v>
      </c>
      <c r="O16" s="25">
        <v>321</v>
      </c>
      <c r="P16" s="25">
        <v>68</v>
      </c>
      <c r="Q16" s="25">
        <v>1974</v>
      </c>
      <c r="R16" s="25">
        <v>4.1500000000000004</v>
      </c>
      <c r="S16" s="25">
        <v>825.5</v>
      </c>
      <c r="T16" s="25" t="s">
        <v>31</v>
      </c>
      <c r="U16" s="25" t="s">
        <v>32</v>
      </c>
      <c r="V16" s="29" t="s">
        <v>640</v>
      </c>
      <c r="W16" s="29" t="s">
        <v>50</v>
      </c>
      <c r="X16" s="29"/>
      <c r="Y16" s="29"/>
      <c r="Z16" s="29"/>
      <c r="AA16" s="29"/>
      <c r="AB16" s="29"/>
      <c r="AC16" s="30"/>
    </row>
    <row r="17" spans="1:29" x14ac:dyDescent="0.25">
      <c r="A17" s="24"/>
      <c r="B17" s="25"/>
      <c r="C17" s="25"/>
      <c r="D17" s="25"/>
      <c r="E17" s="26"/>
      <c r="F17" s="26"/>
      <c r="G17" s="25"/>
      <c r="H17" s="25"/>
      <c r="I17" s="25"/>
      <c r="J17" s="25"/>
      <c r="K17" s="31">
        <v>0</v>
      </c>
      <c r="L17" s="28"/>
      <c r="M17" s="28"/>
      <c r="N17" s="25"/>
      <c r="O17" s="25"/>
      <c r="P17" s="25"/>
      <c r="Q17" s="25"/>
      <c r="R17" s="25"/>
      <c r="S17" s="25"/>
      <c r="T17" s="25"/>
      <c r="U17" s="25"/>
      <c r="V17" s="29"/>
      <c r="W17" s="29"/>
      <c r="X17" s="29"/>
      <c r="Y17" s="29"/>
      <c r="Z17" s="29"/>
      <c r="AA17" s="29"/>
      <c r="AB17" s="29"/>
      <c r="AC17" s="30"/>
    </row>
    <row r="18" spans="1:29" x14ac:dyDescent="0.25">
      <c r="A18" s="24" t="s">
        <v>29</v>
      </c>
      <c r="B18" s="25" t="s">
        <v>53</v>
      </c>
      <c r="C18" s="25" t="s">
        <v>80</v>
      </c>
      <c r="D18" s="25" t="s">
        <v>79</v>
      </c>
      <c r="E18" s="26">
        <v>45859.731944444444</v>
      </c>
      <c r="F18" s="26" t="s">
        <v>352</v>
      </c>
      <c r="G18" s="25" t="s">
        <v>89</v>
      </c>
      <c r="H18" s="25" t="s">
        <v>91</v>
      </c>
      <c r="I18" s="25" t="s">
        <v>87</v>
      </c>
      <c r="J18" s="25" t="s">
        <v>90</v>
      </c>
      <c r="K18" s="17" t="s">
        <v>978</v>
      </c>
      <c r="L18" s="25" t="s">
        <v>66</v>
      </c>
      <c r="M18" s="25">
        <v>5</v>
      </c>
      <c r="N18" s="25" t="s">
        <v>42</v>
      </c>
      <c r="O18" s="25">
        <v>213</v>
      </c>
      <c r="P18" s="25">
        <v>118</v>
      </c>
      <c r="Q18" s="25">
        <v>5000</v>
      </c>
      <c r="R18" s="25">
        <v>6.74</v>
      </c>
      <c r="S18" s="25">
        <v>1453.7</v>
      </c>
      <c r="T18" s="25" t="s">
        <v>31</v>
      </c>
      <c r="U18" s="25" t="s">
        <v>32</v>
      </c>
      <c r="V18" s="29" t="s">
        <v>640</v>
      </c>
      <c r="W18" s="29" t="s">
        <v>50</v>
      </c>
      <c r="X18" s="29"/>
      <c r="Y18" s="29"/>
      <c r="Z18" s="32" t="s">
        <v>577</v>
      </c>
      <c r="AA18" s="33">
        <v>45862</v>
      </c>
      <c r="AB18" s="32" t="s">
        <v>573</v>
      </c>
      <c r="AC18" s="30"/>
    </row>
    <row r="19" spans="1:29" x14ac:dyDescent="0.2">
      <c r="A19" s="24" t="s">
        <v>29</v>
      </c>
      <c r="B19" s="25" t="s">
        <v>53</v>
      </c>
      <c r="C19" s="25" t="s">
        <v>80</v>
      </c>
      <c r="D19" s="25" t="s">
        <v>79</v>
      </c>
      <c r="E19" s="26">
        <v>45859.731944444444</v>
      </c>
      <c r="F19" s="26" t="s">
        <v>352</v>
      </c>
      <c r="G19" s="25" t="s">
        <v>89</v>
      </c>
      <c r="H19" s="25" t="s">
        <v>88</v>
      </c>
      <c r="I19" s="25" t="s">
        <v>87</v>
      </c>
      <c r="J19" s="25" t="s">
        <v>86</v>
      </c>
      <c r="K19" s="27" t="s">
        <v>979</v>
      </c>
      <c r="L19" s="25" t="s">
        <v>43</v>
      </c>
      <c r="M19" s="25">
        <v>6</v>
      </c>
      <c r="N19" s="25" t="s">
        <v>42</v>
      </c>
      <c r="O19" s="25">
        <v>213</v>
      </c>
      <c r="P19" s="25">
        <v>26</v>
      </c>
      <c r="Q19" s="25">
        <v>1000</v>
      </c>
      <c r="R19" s="25">
        <v>1.49</v>
      </c>
      <c r="S19" s="25">
        <v>313.2</v>
      </c>
      <c r="T19" s="25" t="s">
        <v>31</v>
      </c>
      <c r="U19" s="25" t="s">
        <v>32</v>
      </c>
      <c r="V19" s="29" t="s">
        <v>640</v>
      </c>
      <c r="W19" s="29" t="s">
        <v>50</v>
      </c>
      <c r="X19" s="29"/>
      <c r="Y19" s="29"/>
      <c r="Z19" s="29"/>
      <c r="AA19" s="29"/>
      <c r="AB19" s="29"/>
      <c r="AC19" s="30"/>
    </row>
    <row r="20" spans="1:29" x14ac:dyDescent="0.2">
      <c r="A20" s="24" t="s">
        <v>29</v>
      </c>
      <c r="B20" s="25" t="s">
        <v>53</v>
      </c>
      <c r="C20" s="25" t="s">
        <v>80</v>
      </c>
      <c r="D20" s="25" t="s">
        <v>79</v>
      </c>
      <c r="E20" s="26">
        <v>45859.731944444444</v>
      </c>
      <c r="F20" s="26" t="s">
        <v>352</v>
      </c>
      <c r="G20" s="25" t="s">
        <v>85</v>
      </c>
      <c r="H20" s="25" t="s">
        <v>84</v>
      </c>
      <c r="I20" s="25" t="s">
        <v>83</v>
      </c>
      <c r="J20" s="25" t="s">
        <v>82</v>
      </c>
      <c r="K20" s="27" t="s">
        <v>980</v>
      </c>
      <c r="L20" s="25" t="s">
        <v>81</v>
      </c>
      <c r="M20" s="25">
        <v>7</v>
      </c>
      <c r="N20" s="25" t="s">
        <v>42</v>
      </c>
      <c r="O20" s="25">
        <v>213</v>
      </c>
      <c r="P20" s="25">
        <v>34</v>
      </c>
      <c r="Q20" s="25">
        <v>993</v>
      </c>
      <c r="R20" s="25">
        <v>1.94</v>
      </c>
      <c r="S20" s="25">
        <v>430.2</v>
      </c>
      <c r="T20" s="25" t="s">
        <v>31</v>
      </c>
      <c r="U20" s="25" t="s">
        <v>32</v>
      </c>
      <c r="V20" s="29" t="s">
        <v>640</v>
      </c>
      <c r="W20" s="29" t="s">
        <v>50</v>
      </c>
      <c r="X20" s="29"/>
      <c r="Y20" s="29"/>
      <c r="Z20" s="29"/>
      <c r="AA20" s="29"/>
      <c r="AB20" s="29"/>
      <c r="AC20" s="30"/>
    </row>
    <row r="21" spans="1:29" ht="13.8" thickBot="1" x14ac:dyDescent="0.25">
      <c r="A21" s="24" t="s">
        <v>29</v>
      </c>
      <c r="B21" s="25" t="s">
        <v>53</v>
      </c>
      <c r="C21" s="25" t="s">
        <v>80</v>
      </c>
      <c r="D21" s="25" t="s">
        <v>79</v>
      </c>
      <c r="E21" s="26">
        <v>45859.731944444444</v>
      </c>
      <c r="F21" s="26" t="s">
        <v>352</v>
      </c>
      <c r="G21" s="25" t="s">
        <v>78</v>
      </c>
      <c r="H21" s="25" t="s">
        <v>77</v>
      </c>
      <c r="I21" s="25" t="s">
        <v>76</v>
      </c>
      <c r="J21" s="25" t="s">
        <v>75</v>
      </c>
      <c r="K21" s="27" t="s">
        <v>981</v>
      </c>
      <c r="L21" s="25" t="s">
        <v>46</v>
      </c>
      <c r="M21" s="25">
        <v>8</v>
      </c>
      <c r="N21" s="25" t="s">
        <v>42</v>
      </c>
      <c r="O21" s="25">
        <v>213</v>
      </c>
      <c r="P21" s="25">
        <v>35</v>
      </c>
      <c r="Q21" s="25">
        <v>1000</v>
      </c>
      <c r="R21" s="25">
        <v>2</v>
      </c>
      <c r="S21" s="25">
        <v>441.6</v>
      </c>
      <c r="T21" s="25" t="s">
        <v>31</v>
      </c>
      <c r="U21" s="25" t="s">
        <v>32</v>
      </c>
      <c r="V21" s="29" t="s">
        <v>640</v>
      </c>
      <c r="W21" s="29" t="s">
        <v>50</v>
      </c>
      <c r="X21" s="29"/>
      <c r="Y21" s="29"/>
      <c r="Z21" s="29"/>
      <c r="AA21" s="29"/>
      <c r="AB21" s="29"/>
      <c r="AC21" s="30"/>
    </row>
    <row r="22" spans="1:29" ht="13.8" thickBot="1" x14ac:dyDescent="0.3">
      <c r="A22" s="24"/>
      <c r="B22" s="25"/>
      <c r="C22" s="25"/>
      <c r="D22" s="25"/>
      <c r="E22" s="26"/>
      <c r="F22" s="26"/>
      <c r="G22" s="25"/>
      <c r="H22" s="25"/>
      <c r="I22" s="25"/>
      <c r="J22" s="25"/>
      <c r="K22" s="31">
        <v>0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9"/>
      <c r="W22" s="29"/>
      <c r="X22" s="29"/>
      <c r="Y22" s="29"/>
      <c r="Z22" s="29"/>
      <c r="AA22" s="29"/>
      <c r="AB22" s="29"/>
      <c r="AC22" s="30"/>
    </row>
    <row r="23" spans="1:29" ht="13.8" thickBot="1" x14ac:dyDescent="0.3">
      <c r="A23" s="34" t="s">
        <v>29</v>
      </c>
      <c r="B23" s="35" t="s">
        <v>33</v>
      </c>
      <c r="C23" s="35" t="s">
        <v>60</v>
      </c>
      <c r="D23" s="35" t="s">
        <v>61</v>
      </c>
      <c r="E23" s="36">
        <v>45857.929861111115</v>
      </c>
      <c r="F23" s="29" t="s">
        <v>256</v>
      </c>
      <c r="G23" s="35" t="s">
        <v>62</v>
      </c>
      <c r="H23" s="35" t="s">
        <v>63</v>
      </c>
      <c r="I23" s="35" t="s">
        <v>64</v>
      </c>
      <c r="J23" s="35" t="s">
        <v>65</v>
      </c>
      <c r="K23" s="31" t="s">
        <v>863</v>
      </c>
      <c r="L23" s="35" t="s">
        <v>66</v>
      </c>
      <c r="M23" s="35">
        <v>9</v>
      </c>
      <c r="N23" s="35" t="s">
        <v>55</v>
      </c>
      <c r="O23" s="35">
        <v>118</v>
      </c>
      <c r="P23" s="35">
        <v>118</v>
      </c>
      <c r="Q23" s="35">
        <v>2415</v>
      </c>
      <c r="R23" s="35">
        <v>5.26</v>
      </c>
      <c r="S23" s="35">
        <v>1201.5</v>
      </c>
      <c r="T23" s="35" t="s">
        <v>31</v>
      </c>
      <c r="U23" s="35" t="s">
        <v>32</v>
      </c>
      <c r="V23" s="29" t="s">
        <v>640</v>
      </c>
      <c r="W23" s="29" t="s">
        <v>50</v>
      </c>
      <c r="X23" s="29"/>
      <c r="Y23" s="29"/>
      <c r="Z23" s="32" t="s">
        <v>574</v>
      </c>
      <c r="AA23" s="33">
        <v>45855</v>
      </c>
      <c r="AB23" s="32" t="s">
        <v>575</v>
      </c>
      <c r="AC23" s="30"/>
    </row>
    <row r="24" spans="1:29" ht="13.8" thickBot="1" x14ac:dyDescent="0.3">
      <c r="A24" s="34"/>
      <c r="B24" s="35"/>
      <c r="C24" s="35"/>
      <c r="D24" s="35"/>
      <c r="E24" s="36"/>
      <c r="F24" s="36"/>
      <c r="G24" s="35"/>
      <c r="H24" s="35"/>
      <c r="I24" s="35"/>
      <c r="J24" s="35"/>
      <c r="K24" s="31">
        <v>0</v>
      </c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29"/>
      <c r="W24" s="29"/>
      <c r="X24" s="29"/>
      <c r="Y24" s="29"/>
      <c r="Z24" s="29"/>
      <c r="AA24" s="29"/>
      <c r="AB24" s="29"/>
      <c r="AC24" s="30"/>
    </row>
    <row r="25" spans="1:29" ht="15" thickBot="1" x14ac:dyDescent="0.3">
      <c r="A25" s="24" t="s">
        <v>29</v>
      </c>
      <c r="B25" s="25" t="s">
        <v>33</v>
      </c>
      <c r="C25" s="25" t="s">
        <v>183</v>
      </c>
      <c r="D25" s="25" t="s">
        <v>184</v>
      </c>
      <c r="E25" s="26">
        <v>45859.977777777778</v>
      </c>
      <c r="F25" s="29" t="s">
        <v>256</v>
      </c>
      <c r="G25" s="25" t="s">
        <v>185</v>
      </c>
      <c r="H25" s="25" t="s">
        <v>186</v>
      </c>
      <c r="I25" s="25" t="s">
        <v>187</v>
      </c>
      <c r="J25" s="25" t="s">
        <v>188</v>
      </c>
      <c r="K25" s="31" t="s">
        <v>864</v>
      </c>
      <c r="L25" s="37" t="s">
        <v>194</v>
      </c>
      <c r="M25" s="37" t="s">
        <v>951</v>
      </c>
      <c r="N25" s="25" t="s">
        <v>55</v>
      </c>
      <c r="O25" s="25">
        <v>91</v>
      </c>
      <c r="P25" s="25">
        <v>91</v>
      </c>
      <c r="Q25" s="25">
        <v>1539</v>
      </c>
      <c r="R25" s="25">
        <v>4.05</v>
      </c>
      <c r="S25" s="25">
        <v>1098.7</v>
      </c>
      <c r="T25" s="25" t="s">
        <v>31</v>
      </c>
      <c r="U25" s="25" t="s">
        <v>32</v>
      </c>
      <c r="V25" s="29" t="s">
        <v>640</v>
      </c>
      <c r="W25" s="38" t="s">
        <v>233</v>
      </c>
      <c r="X25" s="25"/>
      <c r="Y25" s="25"/>
      <c r="Z25" s="32" t="s">
        <v>587</v>
      </c>
      <c r="AA25" s="33">
        <v>45859</v>
      </c>
      <c r="AB25" s="32" t="s">
        <v>573</v>
      </c>
      <c r="AC25" s="30"/>
    </row>
    <row r="26" spans="1:29" ht="13.8" thickBot="1" x14ac:dyDescent="0.3">
      <c r="A26" s="39"/>
      <c r="B26" s="29"/>
      <c r="C26" s="29"/>
      <c r="D26" s="29"/>
      <c r="E26" s="29"/>
      <c r="F26" s="29"/>
      <c r="G26" s="29"/>
      <c r="H26" s="29"/>
      <c r="I26" s="29"/>
      <c r="J26" s="29"/>
      <c r="K26" s="31"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30"/>
    </row>
    <row r="27" spans="1:29" ht="13.8" thickBot="1" x14ac:dyDescent="0.3">
      <c r="A27" s="40" t="s">
        <v>29</v>
      </c>
      <c r="B27" s="32" t="s">
        <v>33</v>
      </c>
      <c r="C27" s="32" t="s">
        <v>241</v>
      </c>
      <c r="D27" s="32" t="s">
        <v>242</v>
      </c>
      <c r="E27" s="26">
        <v>45860.717361111107</v>
      </c>
      <c r="F27" s="29" t="s">
        <v>256</v>
      </c>
      <c r="G27" s="32" t="s">
        <v>243</v>
      </c>
      <c r="H27" s="32" t="s">
        <v>244</v>
      </c>
      <c r="I27" s="32" t="s">
        <v>245</v>
      </c>
      <c r="J27" s="32" t="s">
        <v>246</v>
      </c>
      <c r="K27" s="31" t="s">
        <v>865</v>
      </c>
      <c r="L27" s="37" t="s">
        <v>67</v>
      </c>
      <c r="M27" s="37" t="s">
        <v>952</v>
      </c>
      <c r="N27" s="32" t="s">
        <v>247</v>
      </c>
      <c r="O27" s="32">
        <v>124</v>
      </c>
      <c r="P27" s="32">
        <v>124</v>
      </c>
      <c r="Q27" s="32">
        <v>2083</v>
      </c>
      <c r="R27" s="32">
        <v>5.73</v>
      </c>
      <c r="S27" s="32">
        <v>1463.1</v>
      </c>
      <c r="T27" s="25" t="s">
        <v>31</v>
      </c>
      <c r="U27" s="32" t="s">
        <v>32</v>
      </c>
      <c r="V27" s="29" t="s">
        <v>640</v>
      </c>
      <c r="W27" s="29" t="s">
        <v>258</v>
      </c>
      <c r="X27" s="32"/>
      <c r="Y27" s="32"/>
      <c r="Z27" s="32" t="s">
        <v>589</v>
      </c>
      <c r="AA27" s="33">
        <v>45860</v>
      </c>
      <c r="AB27" s="32" t="s">
        <v>573</v>
      </c>
      <c r="AC27" s="30"/>
    </row>
    <row r="28" spans="1:29" ht="13.8" thickBot="1" x14ac:dyDescent="0.3">
      <c r="A28" s="40"/>
      <c r="B28" s="32"/>
      <c r="C28" s="32"/>
      <c r="D28" s="32"/>
      <c r="E28" s="41"/>
      <c r="F28" s="29"/>
      <c r="G28" s="32"/>
      <c r="H28" s="32"/>
      <c r="I28" s="32"/>
      <c r="J28" s="32"/>
      <c r="K28" s="31">
        <v>0</v>
      </c>
      <c r="L28" s="37"/>
      <c r="M28" s="37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29"/>
      <c r="AB28" s="29"/>
      <c r="AC28" s="30"/>
    </row>
    <row r="29" spans="1:29" ht="15" thickBot="1" x14ac:dyDescent="0.3">
      <c r="A29" s="40" t="s">
        <v>29</v>
      </c>
      <c r="B29" s="32" t="s">
        <v>33</v>
      </c>
      <c r="C29" s="32" t="s">
        <v>248</v>
      </c>
      <c r="D29" s="32" t="s">
        <v>249</v>
      </c>
      <c r="E29" s="26">
        <v>45860.717361111107</v>
      </c>
      <c r="F29" s="29" t="s">
        <v>256</v>
      </c>
      <c r="G29" s="32" t="s">
        <v>250</v>
      </c>
      <c r="H29" s="32" t="s">
        <v>251</v>
      </c>
      <c r="I29" s="32" t="s">
        <v>252</v>
      </c>
      <c r="J29" s="32" t="s">
        <v>253</v>
      </c>
      <c r="K29" s="31" t="s">
        <v>866</v>
      </c>
      <c r="L29" s="37" t="s">
        <v>255</v>
      </c>
      <c r="M29" s="37" t="s">
        <v>953</v>
      </c>
      <c r="N29" s="32" t="s">
        <v>55</v>
      </c>
      <c r="O29" s="32">
        <v>199</v>
      </c>
      <c r="P29" s="32">
        <v>199</v>
      </c>
      <c r="Q29" s="32">
        <v>3075</v>
      </c>
      <c r="R29" s="32">
        <v>8.8699999999999992</v>
      </c>
      <c r="S29" s="32">
        <v>2279.3000000000002</v>
      </c>
      <c r="T29" s="25" t="s">
        <v>31</v>
      </c>
      <c r="U29" s="32" t="s">
        <v>32</v>
      </c>
      <c r="V29" s="29" t="s">
        <v>640</v>
      </c>
      <c r="W29" s="42" t="s">
        <v>257</v>
      </c>
      <c r="X29" s="32"/>
      <c r="Y29" s="32"/>
      <c r="Z29" s="32" t="s">
        <v>590</v>
      </c>
      <c r="AA29" s="33">
        <v>45860</v>
      </c>
      <c r="AB29" s="32" t="s">
        <v>573</v>
      </c>
      <c r="AC29" s="30"/>
    </row>
    <row r="30" spans="1:29" ht="13.8" thickBot="1" x14ac:dyDescent="0.3">
      <c r="A30" s="24"/>
      <c r="B30" s="25"/>
      <c r="C30" s="25"/>
      <c r="D30" s="25"/>
      <c r="E30" s="26"/>
      <c r="F30" s="29"/>
      <c r="G30" s="25"/>
      <c r="H30" s="25"/>
      <c r="I30" s="25"/>
      <c r="J30" s="25"/>
      <c r="K30" s="31">
        <v>0</v>
      </c>
      <c r="L30" s="37"/>
      <c r="M30" s="37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9"/>
      <c r="AB30" s="29"/>
      <c r="AC30" s="30"/>
    </row>
    <row r="31" spans="1:29" ht="13.8" thickBot="1" x14ac:dyDescent="0.3">
      <c r="A31" s="43" t="s">
        <v>29</v>
      </c>
      <c r="B31" s="44" t="s">
        <v>33</v>
      </c>
      <c r="C31" s="44" t="s">
        <v>269</v>
      </c>
      <c r="D31" s="44" t="s">
        <v>270</v>
      </c>
      <c r="E31" s="45">
        <v>45861.871527777781</v>
      </c>
      <c r="F31" s="29" t="s">
        <v>528</v>
      </c>
      <c r="G31" s="44" t="s">
        <v>271</v>
      </c>
      <c r="H31" s="44" t="s">
        <v>272</v>
      </c>
      <c r="I31" s="44" t="s">
        <v>273</v>
      </c>
      <c r="J31" s="44" t="s">
        <v>274</v>
      </c>
      <c r="K31" s="31" t="s">
        <v>867</v>
      </c>
      <c r="L31" s="46" t="s">
        <v>299</v>
      </c>
      <c r="M31" s="46">
        <v>13</v>
      </c>
      <c r="N31" s="44" t="s">
        <v>55</v>
      </c>
      <c r="O31" s="44">
        <v>42</v>
      </c>
      <c r="P31" s="44">
        <v>42</v>
      </c>
      <c r="Q31" s="44">
        <v>618</v>
      </c>
      <c r="R31" s="44">
        <v>1.87</v>
      </c>
      <c r="S31" s="44">
        <v>396.2</v>
      </c>
      <c r="T31" s="25" t="s">
        <v>31</v>
      </c>
      <c r="U31" s="32" t="s">
        <v>32</v>
      </c>
      <c r="V31" s="29" t="s">
        <v>640</v>
      </c>
      <c r="W31" s="32" t="s">
        <v>258</v>
      </c>
      <c r="X31" s="44"/>
      <c r="Y31" s="44"/>
      <c r="Z31" s="32" t="s">
        <v>592</v>
      </c>
      <c r="AA31" s="33">
        <v>45854</v>
      </c>
      <c r="AB31" s="32" t="s">
        <v>575</v>
      </c>
      <c r="AC31" s="30"/>
    </row>
    <row r="32" spans="1:29" ht="13.8" thickBot="1" x14ac:dyDescent="0.3">
      <c r="A32" s="43"/>
      <c r="B32" s="44"/>
      <c r="C32" s="44"/>
      <c r="D32" s="44"/>
      <c r="E32" s="45"/>
      <c r="F32" s="29"/>
      <c r="G32" s="44"/>
      <c r="H32" s="44"/>
      <c r="I32" s="44"/>
      <c r="J32" s="44"/>
      <c r="K32" s="31">
        <v>0</v>
      </c>
      <c r="L32" s="29"/>
      <c r="M32" s="29"/>
      <c r="N32" s="44"/>
      <c r="O32" s="44"/>
      <c r="P32" s="44"/>
      <c r="Q32" s="44"/>
      <c r="R32" s="44"/>
      <c r="S32" s="44"/>
      <c r="T32" s="25"/>
      <c r="U32" s="32"/>
      <c r="V32" s="44"/>
      <c r="W32" s="44"/>
      <c r="X32" s="44"/>
      <c r="Y32" s="44"/>
      <c r="Z32" s="44"/>
      <c r="AA32" s="29"/>
      <c r="AB32" s="29"/>
      <c r="AC32" s="30"/>
    </row>
    <row r="33" spans="1:29" ht="13.8" thickBot="1" x14ac:dyDescent="0.3">
      <c r="A33" s="43" t="s">
        <v>29</v>
      </c>
      <c r="B33" s="44" t="s">
        <v>33</v>
      </c>
      <c r="C33" s="44" t="s">
        <v>275</v>
      </c>
      <c r="D33" s="44" t="s">
        <v>276</v>
      </c>
      <c r="E33" s="45">
        <v>45861.870138888888</v>
      </c>
      <c r="F33" s="29" t="s">
        <v>528</v>
      </c>
      <c r="G33" s="44" t="s">
        <v>277</v>
      </c>
      <c r="H33" s="44" t="s">
        <v>278</v>
      </c>
      <c r="I33" s="44" t="s">
        <v>279</v>
      </c>
      <c r="J33" s="44" t="s">
        <v>280</v>
      </c>
      <c r="K33" s="31" t="s">
        <v>868</v>
      </c>
      <c r="L33" s="47" t="s">
        <v>300</v>
      </c>
      <c r="M33" s="48">
        <v>14</v>
      </c>
      <c r="N33" s="44" t="s">
        <v>55</v>
      </c>
      <c r="O33" s="44">
        <v>39</v>
      </c>
      <c r="P33" s="44">
        <v>39</v>
      </c>
      <c r="Q33" s="44">
        <v>567</v>
      </c>
      <c r="R33" s="44">
        <v>1.74</v>
      </c>
      <c r="S33" s="44">
        <v>382.9</v>
      </c>
      <c r="T33" s="25" t="s">
        <v>31</v>
      </c>
      <c r="U33" s="32" t="s">
        <v>32</v>
      </c>
      <c r="V33" s="29" t="s">
        <v>640</v>
      </c>
      <c r="W33" s="32" t="s">
        <v>258</v>
      </c>
      <c r="X33" s="44"/>
      <c r="Y33" s="44"/>
      <c r="Z33" s="32" t="s">
        <v>593</v>
      </c>
      <c r="AA33" s="33">
        <v>45861</v>
      </c>
      <c r="AB33" s="32" t="s">
        <v>575</v>
      </c>
      <c r="AC33" s="30"/>
    </row>
    <row r="34" spans="1:29" ht="13.8" thickBot="1" x14ac:dyDescent="0.3">
      <c r="A34" s="43"/>
      <c r="B34" s="44"/>
      <c r="C34" s="44"/>
      <c r="D34" s="44"/>
      <c r="E34" s="45"/>
      <c r="F34" s="29"/>
      <c r="G34" s="44"/>
      <c r="H34" s="44"/>
      <c r="I34" s="44"/>
      <c r="J34" s="44"/>
      <c r="K34" s="31">
        <v>0</v>
      </c>
      <c r="L34" s="29"/>
      <c r="M34" s="29"/>
      <c r="N34" s="44"/>
      <c r="O34" s="44"/>
      <c r="P34" s="44"/>
      <c r="Q34" s="44"/>
      <c r="R34" s="44"/>
      <c r="S34" s="44"/>
      <c r="T34" s="25"/>
      <c r="U34" s="32"/>
      <c r="V34" s="44"/>
      <c r="W34" s="44"/>
      <c r="X34" s="44"/>
      <c r="Y34" s="44"/>
      <c r="Z34" s="44"/>
      <c r="AA34" s="29"/>
      <c r="AB34" s="29"/>
      <c r="AC34" s="30"/>
    </row>
    <row r="35" spans="1:29" ht="13.8" thickBot="1" x14ac:dyDescent="0.3">
      <c r="A35" s="49" t="s">
        <v>29</v>
      </c>
      <c r="B35" s="50" t="s">
        <v>33</v>
      </c>
      <c r="C35" s="50" t="s">
        <v>445</v>
      </c>
      <c r="D35" s="50" t="s">
        <v>446</v>
      </c>
      <c r="E35" s="51">
        <v>45862.865972222222</v>
      </c>
      <c r="F35" s="29" t="s">
        <v>529</v>
      </c>
      <c r="G35" s="50" t="s">
        <v>447</v>
      </c>
      <c r="H35" s="50" t="s">
        <v>448</v>
      </c>
      <c r="I35" s="50" t="s">
        <v>449</v>
      </c>
      <c r="J35" s="50" t="s">
        <v>450</v>
      </c>
      <c r="K35" s="31" t="s">
        <v>869</v>
      </c>
      <c r="L35" s="37" t="s">
        <v>475</v>
      </c>
      <c r="M35" s="37" t="s">
        <v>955</v>
      </c>
      <c r="N35" s="50" t="s">
        <v>55</v>
      </c>
      <c r="O35" s="50">
        <v>75</v>
      </c>
      <c r="P35" s="50">
        <v>75</v>
      </c>
      <c r="Q35" s="50">
        <v>1575</v>
      </c>
      <c r="R35" s="50">
        <v>3.34</v>
      </c>
      <c r="S35" s="50">
        <v>854.7</v>
      </c>
      <c r="T35" s="44" t="s">
        <v>31</v>
      </c>
      <c r="U35" s="50" t="s">
        <v>32</v>
      </c>
      <c r="V35" s="29" t="s">
        <v>640</v>
      </c>
      <c r="W35" s="52" t="s">
        <v>258</v>
      </c>
      <c r="X35" s="50"/>
      <c r="Y35" s="50"/>
      <c r="Z35" s="32" t="s">
        <v>612</v>
      </c>
      <c r="AA35" s="33">
        <v>45862</v>
      </c>
      <c r="AB35" s="32" t="s">
        <v>575</v>
      </c>
      <c r="AC35" s="30"/>
    </row>
    <row r="36" spans="1:29" ht="13.8" thickBot="1" x14ac:dyDescent="0.3">
      <c r="A36" s="49"/>
      <c r="B36" s="50"/>
      <c r="C36" s="50"/>
      <c r="D36" s="50"/>
      <c r="E36" s="51"/>
      <c r="F36" s="29"/>
      <c r="G36" s="50"/>
      <c r="H36" s="50"/>
      <c r="I36" s="50"/>
      <c r="J36" s="50"/>
      <c r="K36" s="31">
        <v>0</v>
      </c>
      <c r="L36" s="37"/>
      <c r="M36" s="37"/>
      <c r="N36" s="50"/>
      <c r="O36" s="50"/>
      <c r="P36" s="50"/>
      <c r="Q36" s="50"/>
      <c r="R36" s="50"/>
      <c r="S36" s="50"/>
      <c r="T36" s="44"/>
      <c r="U36" s="50"/>
      <c r="V36" s="50"/>
      <c r="W36" s="50"/>
      <c r="X36" s="50"/>
      <c r="Y36" s="50"/>
      <c r="Z36" s="50"/>
      <c r="AA36" s="29"/>
      <c r="AB36" s="29"/>
      <c r="AC36" s="30"/>
    </row>
    <row r="37" spans="1:29" ht="14.4" x14ac:dyDescent="0.3">
      <c r="A37" s="49" t="s">
        <v>29</v>
      </c>
      <c r="B37" s="50" t="s">
        <v>33</v>
      </c>
      <c r="C37" s="50" t="s">
        <v>451</v>
      </c>
      <c r="D37" s="50" t="s">
        <v>452</v>
      </c>
      <c r="E37" s="51">
        <v>45862.865972222222</v>
      </c>
      <c r="F37" s="29" t="s">
        <v>643</v>
      </c>
      <c r="G37" s="50" t="s">
        <v>453</v>
      </c>
      <c r="H37" s="50" t="s">
        <v>454</v>
      </c>
      <c r="I37" s="50" t="s">
        <v>455</v>
      </c>
      <c r="J37" s="50" t="s">
        <v>456</v>
      </c>
      <c r="K37" s="31" t="s">
        <v>870</v>
      </c>
      <c r="L37" s="37" t="s">
        <v>196</v>
      </c>
      <c r="M37" s="37" t="s">
        <v>956</v>
      </c>
      <c r="N37" s="50" t="s">
        <v>55</v>
      </c>
      <c r="O37" s="50">
        <v>44</v>
      </c>
      <c r="P37" s="50">
        <v>44</v>
      </c>
      <c r="Q37" s="50">
        <v>1012</v>
      </c>
      <c r="R37" s="50">
        <v>1.96</v>
      </c>
      <c r="S37" s="50">
        <v>473.3</v>
      </c>
      <c r="T37" s="44" t="s">
        <v>31</v>
      </c>
      <c r="U37" s="50" t="s">
        <v>32</v>
      </c>
      <c r="V37" s="29" t="s">
        <v>640</v>
      </c>
      <c r="W37" s="53" t="s">
        <v>234</v>
      </c>
      <c r="X37" s="50"/>
      <c r="Y37" s="50"/>
      <c r="Z37" s="32" t="s">
        <v>682</v>
      </c>
      <c r="AA37" s="33">
        <v>45862</v>
      </c>
      <c r="AB37" s="32" t="s">
        <v>575</v>
      </c>
      <c r="AC37" s="30"/>
    </row>
    <row r="38" spans="1:29" ht="13.8" thickBot="1" x14ac:dyDescent="0.3">
      <c r="A38" s="54"/>
      <c r="B38" s="55"/>
      <c r="C38" s="55"/>
      <c r="D38" s="55"/>
      <c r="E38" s="56"/>
      <c r="F38" s="57"/>
      <c r="G38" s="55"/>
      <c r="H38" s="55"/>
      <c r="I38" s="55"/>
      <c r="J38" s="55"/>
      <c r="K38" s="55"/>
      <c r="L38" s="58"/>
      <c r="M38" s="58"/>
      <c r="N38" s="55"/>
      <c r="O38" s="59" t="s">
        <v>644</v>
      </c>
      <c r="P38" s="59">
        <f>SUM(P13:P37)</f>
        <v>1266</v>
      </c>
      <c r="Q38" s="59">
        <f>SUM(Q13:Q37)</f>
        <v>29551</v>
      </c>
      <c r="R38" s="59">
        <f>SUM(R13:R37)</f>
        <v>64.569999999999979</v>
      </c>
      <c r="S38" s="59">
        <f>SUM(S13:S37)</f>
        <v>15049.1</v>
      </c>
      <c r="T38" s="59" t="s">
        <v>645</v>
      </c>
      <c r="U38" s="55"/>
      <c r="V38" s="55"/>
      <c r="W38" s="55"/>
      <c r="X38" s="55"/>
      <c r="Y38" s="55"/>
      <c r="Z38" s="55"/>
      <c r="AA38" s="57"/>
      <c r="AB38" s="57"/>
      <c r="AC38" s="60"/>
    </row>
    <row r="41" spans="1:29" ht="13.8" thickBot="1" x14ac:dyDescent="0.3"/>
    <row r="42" spans="1:29" ht="13.8" thickBot="1" x14ac:dyDescent="0.3">
      <c r="A42" s="6" t="s">
        <v>678</v>
      </c>
    </row>
    <row r="43" spans="1:29" ht="13.8" thickBot="1" x14ac:dyDescent="0.3">
      <c r="A43" s="7" t="s">
        <v>2</v>
      </c>
      <c r="B43" s="8" t="s">
        <v>3</v>
      </c>
      <c r="C43" s="8" t="s">
        <v>4</v>
      </c>
      <c r="D43" s="8" t="s">
        <v>5</v>
      </c>
      <c r="E43" s="8" t="s">
        <v>6</v>
      </c>
      <c r="F43" s="8" t="s">
        <v>7</v>
      </c>
      <c r="G43" s="8" t="s">
        <v>8</v>
      </c>
      <c r="H43" s="8" t="s">
        <v>9</v>
      </c>
      <c r="I43" s="8" t="s">
        <v>10</v>
      </c>
      <c r="J43" s="8" t="s">
        <v>11</v>
      </c>
      <c r="K43" s="8" t="s">
        <v>860</v>
      </c>
      <c r="L43" s="8" t="s">
        <v>12</v>
      </c>
      <c r="M43" s="8" t="s">
        <v>950</v>
      </c>
      <c r="N43" s="8" t="s">
        <v>13</v>
      </c>
      <c r="O43" s="8" t="s">
        <v>14</v>
      </c>
      <c r="P43" s="8" t="s">
        <v>15</v>
      </c>
      <c r="Q43" s="8" t="s">
        <v>16</v>
      </c>
      <c r="R43" s="8" t="s">
        <v>17</v>
      </c>
      <c r="S43" s="8" t="s">
        <v>18</v>
      </c>
      <c r="T43" s="8" t="s">
        <v>19</v>
      </c>
      <c r="U43" s="8" t="s">
        <v>20</v>
      </c>
      <c r="V43" s="8" t="s">
        <v>21</v>
      </c>
      <c r="W43" s="9" t="s">
        <v>22</v>
      </c>
      <c r="X43" s="10" t="s">
        <v>23</v>
      </c>
      <c r="Y43" s="11" t="s">
        <v>24</v>
      </c>
      <c r="Z43" s="12" t="s">
        <v>25</v>
      </c>
      <c r="AA43" s="8" t="s">
        <v>26</v>
      </c>
      <c r="AB43" s="8" t="s">
        <v>27</v>
      </c>
      <c r="AC43" s="13" t="s">
        <v>28</v>
      </c>
    </row>
    <row r="44" spans="1:29" ht="15" thickBot="1" x14ac:dyDescent="0.3">
      <c r="A44" s="14" t="s">
        <v>29</v>
      </c>
      <c r="B44" s="15" t="s">
        <v>44</v>
      </c>
      <c r="C44" s="15" t="s">
        <v>168</v>
      </c>
      <c r="D44" s="15" t="s">
        <v>169</v>
      </c>
      <c r="E44" s="16">
        <v>45859.791666666672</v>
      </c>
      <c r="F44" s="19" t="s">
        <v>529</v>
      </c>
      <c r="G44" s="15" t="s">
        <v>170</v>
      </c>
      <c r="H44" s="15" t="s">
        <v>171</v>
      </c>
      <c r="I44" s="15" t="s">
        <v>172</v>
      </c>
      <c r="J44" s="15" t="s">
        <v>173</v>
      </c>
      <c r="K44" s="31" t="s">
        <v>871</v>
      </c>
      <c r="L44" s="61" t="s">
        <v>54</v>
      </c>
      <c r="M44" s="61" t="s">
        <v>954</v>
      </c>
      <c r="N44" s="15" t="s">
        <v>174</v>
      </c>
      <c r="O44" s="15">
        <v>268</v>
      </c>
      <c r="P44" s="15">
        <v>68</v>
      </c>
      <c r="Q44" s="15">
        <v>2000</v>
      </c>
      <c r="R44" s="15">
        <v>4.38</v>
      </c>
      <c r="S44" s="15">
        <v>888.05</v>
      </c>
      <c r="T44" s="15" t="s">
        <v>31</v>
      </c>
      <c r="U44" s="15" t="s">
        <v>32</v>
      </c>
      <c r="V44" s="19" t="s">
        <v>640</v>
      </c>
      <c r="W44" s="62" t="s">
        <v>233</v>
      </c>
      <c r="X44" s="20" t="s">
        <v>848</v>
      </c>
      <c r="Y44" s="20" t="s">
        <v>849</v>
      </c>
      <c r="Z44" s="21" t="s">
        <v>588</v>
      </c>
      <c r="AA44" s="22">
        <v>45865</v>
      </c>
      <c r="AB44" s="21" t="s">
        <v>573</v>
      </c>
      <c r="AC44" s="23"/>
    </row>
    <row r="45" spans="1:29" ht="15" thickBot="1" x14ac:dyDescent="0.3">
      <c r="A45" s="24" t="s">
        <v>29</v>
      </c>
      <c r="B45" s="25" t="s">
        <v>44</v>
      </c>
      <c r="C45" s="25" t="s">
        <v>168</v>
      </c>
      <c r="D45" s="25" t="s">
        <v>169</v>
      </c>
      <c r="E45" s="26">
        <v>45859.791666666672</v>
      </c>
      <c r="F45" s="29" t="s">
        <v>529</v>
      </c>
      <c r="G45" s="25" t="s">
        <v>170</v>
      </c>
      <c r="H45" s="25" t="s">
        <v>175</v>
      </c>
      <c r="I45" s="25" t="s">
        <v>176</v>
      </c>
      <c r="J45" s="25" t="s">
        <v>173</v>
      </c>
      <c r="K45" s="31" t="s">
        <v>871</v>
      </c>
      <c r="L45" s="37" t="s">
        <v>57</v>
      </c>
      <c r="M45" s="61" t="s">
        <v>957</v>
      </c>
      <c r="N45" s="25" t="s">
        <v>174</v>
      </c>
      <c r="O45" s="25">
        <v>268</v>
      </c>
      <c r="P45" s="25">
        <v>73</v>
      </c>
      <c r="Q45" s="25">
        <v>2162</v>
      </c>
      <c r="R45" s="25">
        <v>4.7</v>
      </c>
      <c r="S45" s="25">
        <v>961.1</v>
      </c>
      <c r="T45" s="25" t="s">
        <v>31</v>
      </c>
      <c r="U45" s="25" t="s">
        <v>32</v>
      </c>
      <c r="V45" s="29" t="s">
        <v>640</v>
      </c>
      <c r="W45" s="38" t="s">
        <v>233</v>
      </c>
      <c r="X45" s="25"/>
      <c r="Y45" s="25"/>
      <c r="Z45" s="25" t="s">
        <v>159</v>
      </c>
      <c r="AA45" s="29"/>
      <c r="AB45" s="29"/>
      <c r="AC45" s="30"/>
    </row>
    <row r="46" spans="1:29" ht="15" thickBot="1" x14ac:dyDescent="0.3">
      <c r="A46" s="24" t="s">
        <v>29</v>
      </c>
      <c r="B46" s="25" t="s">
        <v>44</v>
      </c>
      <c r="C46" s="25" t="s">
        <v>168</v>
      </c>
      <c r="D46" s="25" t="s">
        <v>169</v>
      </c>
      <c r="E46" s="26">
        <v>45859.791666666672</v>
      </c>
      <c r="F46" s="29" t="s">
        <v>529</v>
      </c>
      <c r="G46" s="25" t="s">
        <v>170</v>
      </c>
      <c r="H46" s="25" t="s">
        <v>177</v>
      </c>
      <c r="I46" s="25" t="s">
        <v>178</v>
      </c>
      <c r="J46" s="25" t="s">
        <v>173</v>
      </c>
      <c r="K46" s="31" t="s">
        <v>871</v>
      </c>
      <c r="L46" s="37" t="s">
        <v>191</v>
      </c>
      <c r="M46" s="61" t="s">
        <v>958</v>
      </c>
      <c r="N46" s="25" t="s">
        <v>174</v>
      </c>
      <c r="O46" s="25">
        <v>268</v>
      </c>
      <c r="P46" s="25">
        <v>36</v>
      </c>
      <c r="Q46" s="25">
        <v>962</v>
      </c>
      <c r="R46" s="25">
        <v>2.3199999999999998</v>
      </c>
      <c r="S46" s="25">
        <v>279.14999999999998</v>
      </c>
      <c r="T46" s="25" t="s">
        <v>31</v>
      </c>
      <c r="U46" s="25" t="s">
        <v>32</v>
      </c>
      <c r="V46" s="29" t="s">
        <v>640</v>
      </c>
      <c r="W46" s="38" t="s">
        <v>233</v>
      </c>
      <c r="X46" s="25"/>
      <c r="Y46" s="25"/>
      <c r="Z46" s="25" t="s">
        <v>159</v>
      </c>
      <c r="AA46" s="29"/>
      <c r="AB46" s="29"/>
      <c r="AC46" s="30"/>
    </row>
    <row r="47" spans="1:29" ht="15" thickBot="1" x14ac:dyDescent="0.3">
      <c r="A47" s="24" t="s">
        <v>29</v>
      </c>
      <c r="B47" s="25" t="s">
        <v>44</v>
      </c>
      <c r="C47" s="25" t="s">
        <v>168</v>
      </c>
      <c r="D47" s="25" t="s">
        <v>169</v>
      </c>
      <c r="E47" s="26">
        <v>45859.791666666672</v>
      </c>
      <c r="F47" s="29" t="s">
        <v>529</v>
      </c>
      <c r="G47" s="25" t="s">
        <v>170</v>
      </c>
      <c r="H47" s="25" t="s">
        <v>179</v>
      </c>
      <c r="I47" s="25" t="s">
        <v>180</v>
      </c>
      <c r="J47" s="25" t="s">
        <v>173</v>
      </c>
      <c r="K47" s="31" t="s">
        <v>871</v>
      </c>
      <c r="L47" s="37" t="s">
        <v>192</v>
      </c>
      <c r="M47" s="61" t="s">
        <v>959</v>
      </c>
      <c r="N47" s="25" t="s">
        <v>174</v>
      </c>
      <c r="O47" s="25">
        <v>268</v>
      </c>
      <c r="P47" s="25">
        <v>53</v>
      </c>
      <c r="Q47" s="25">
        <v>1500</v>
      </c>
      <c r="R47" s="25">
        <v>3.41</v>
      </c>
      <c r="S47" s="25">
        <v>658.8</v>
      </c>
      <c r="T47" s="25" t="s">
        <v>31</v>
      </c>
      <c r="U47" s="25" t="s">
        <v>32</v>
      </c>
      <c r="V47" s="29" t="s">
        <v>640</v>
      </c>
      <c r="W47" s="38" t="s">
        <v>233</v>
      </c>
      <c r="X47" s="25"/>
      <c r="Y47" s="25"/>
      <c r="Z47" s="25" t="s">
        <v>159</v>
      </c>
      <c r="AA47" s="29"/>
      <c r="AB47" s="29"/>
      <c r="AC47" s="30"/>
    </row>
    <row r="48" spans="1:29" ht="15" thickBot="1" x14ac:dyDescent="0.3">
      <c r="A48" s="24" t="s">
        <v>29</v>
      </c>
      <c r="B48" s="25" t="s">
        <v>44</v>
      </c>
      <c r="C48" s="25" t="s">
        <v>168</v>
      </c>
      <c r="D48" s="25" t="s">
        <v>169</v>
      </c>
      <c r="E48" s="26">
        <v>45859.791666666672</v>
      </c>
      <c r="F48" s="29" t="s">
        <v>529</v>
      </c>
      <c r="G48" s="25" t="s">
        <v>170</v>
      </c>
      <c r="H48" s="25" t="s">
        <v>181</v>
      </c>
      <c r="I48" s="25" t="s">
        <v>182</v>
      </c>
      <c r="J48" s="25" t="s">
        <v>173</v>
      </c>
      <c r="K48" s="31" t="s">
        <v>871</v>
      </c>
      <c r="L48" s="37" t="s">
        <v>193</v>
      </c>
      <c r="M48" s="61" t="s">
        <v>960</v>
      </c>
      <c r="N48" s="25" t="s">
        <v>174</v>
      </c>
      <c r="O48" s="25">
        <v>268</v>
      </c>
      <c r="P48" s="25">
        <v>38</v>
      </c>
      <c r="Q48" s="25">
        <v>1000</v>
      </c>
      <c r="R48" s="25">
        <v>2.4500000000000002</v>
      </c>
      <c r="S48" s="25">
        <v>289.8</v>
      </c>
      <c r="T48" s="25" t="s">
        <v>31</v>
      </c>
      <c r="U48" s="25" t="s">
        <v>32</v>
      </c>
      <c r="V48" s="29" t="s">
        <v>640</v>
      </c>
      <c r="W48" s="38" t="s">
        <v>233</v>
      </c>
      <c r="X48" s="25"/>
      <c r="Y48" s="25"/>
      <c r="Z48" s="25" t="s">
        <v>159</v>
      </c>
      <c r="AA48" s="29"/>
      <c r="AB48" s="29"/>
      <c r="AC48" s="30"/>
    </row>
    <row r="49" spans="1:29" ht="15" thickBot="1" x14ac:dyDescent="0.3">
      <c r="A49" s="24"/>
      <c r="B49" s="25"/>
      <c r="C49" s="25"/>
      <c r="D49" s="25"/>
      <c r="E49" s="26"/>
      <c r="F49" s="29"/>
      <c r="G49" s="25"/>
      <c r="H49" s="25"/>
      <c r="I49" s="25"/>
      <c r="J49" s="25"/>
      <c r="K49" s="31">
        <v>0</v>
      </c>
      <c r="L49" s="37"/>
      <c r="M49" s="37"/>
      <c r="N49" s="25"/>
      <c r="O49" s="25"/>
      <c r="P49" s="25"/>
      <c r="Q49" s="25"/>
      <c r="R49" s="25"/>
      <c r="S49" s="25"/>
      <c r="T49" s="25"/>
      <c r="U49" s="25"/>
      <c r="V49" s="25"/>
      <c r="W49" s="38"/>
      <c r="X49" s="25"/>
      <c r="Y49" s="25"/>
      <c r="Z49" s="25"/>
      <c r="AA49" s="29"/>
      <c r="AB49" s="29"/>
      <c r="AC49" s="30"/>
    </row>
    <row r="50" spans="1:29" ht="13.8" thickBot="1" x14ac:dyDescent="0.3">
      <c r="A50" s="24" t="s">
        <v>29</v>
      </c>
      <c r="B50" s="25" t="s">
        <v>53</v>
      </c>
      <c r="C50" s="25" t="s">
        <v>202</v>
      </c>
      <c r="D50" s="25" t="s">
        <v>201</v>
      </c>
      <c r="E50" s="26">
        <v>45860.717361111107</v>
      </c>
      <c r="F50" s="29" t="s">
        <v>352</v>
      </c>
      <c r="G50" s="25" t="s">
        <v>230</v>
      </c>
      <c r="H50" s="25" t="s">
        <v>232</v>
      </c>
      <c r="I50" s="25" t="s">
        <v>228</v>
      </c>
      <c r="J50" s="25" t="s">
        <v>231</v>
      </c>
      <c r="K50" s="31" t="s">
        <v>872</v>
      </c>
      <c r="L50" s="25" t="s">
        <v>196</v>
      </c>
      <c r="M50" s="25">
        <v>6</v>
      </c>
      <c r="N50" s="25" t="s">
        <v>195</v>
      </c>
      <c r="O50" s="25">
        <v>558</v>
      </c>
      <c r="P50" s="25">
        <v>44</v>
      </c>
      <c r="Q50" s="25">
        <v>1000</v>
      </c>
      <c r="R50" s="25">
        <v>2.46</v>
      </c>
      <c r="S50" s="25">
        <v>560.9</v>
      </c>
      <c r="T50" s="25" t="s">
        <v>31</v>
      </c>
      <c r="U50" s="25" t="s">
        <v>32</v>
      </c>
      <c r="V50" s="29" t="s">
        <v>640</v>
      </c>
      <c r="W50" s="29" t="s">
        <v>258</v>
      </c>
      <c r="X50" s="29"/>
      <c r="Y50" s="29"/>
      <c r="Z50" s="32" t="s">
        <v>591</v>
      </c>
      <c r="AA50" s="33">
        <v>45862</v>
      </c>
      <c r="AB50" s="32" t="s">
        <v>573</v>
      </c>
      <c r="AC50" s="30"/>
    </row>
    <row r="51" spans="1:29" ht="13.8" thickBot="1" x14ac:dyDescent="0.3">
      <c r="A51" s="24" t="s">
        <v>29</v>
      </c>
      <c r="B51" s="25" t="s">
        <v>53</v>
      </c>
      <c r="C51" s="25" t="s">
        <v>202</v>
      </c>
      <c r="D51" s="25" t="s">
        <v>201</v>
      </c>
      <c r="E51" s="26">
        <v>45860.717361111107</v>
      </c>
      <c r="F51" s="29" t="s">
        <v>352</v>
      </c>
      <c r="G51" s="25" t="s">
        <v>230</v>
      </c>
      <c r="H51" s="25" t="s">
        <v>229</v>
      </c>
      <c r="I51" s="25" t="s">
        <v>228</v>
      </c>
      <c r="J51" s="25" t="s">
        <v>227</v>
      </c>
      <c r="K51" s="31" t="s">
        <v>873</v>
      </c>
      <c r="L51" s="25" t="s">
        <v>226</v>
      </c>
      <c r="M51" s="25">
        <v>7</v>
      </c>
      <c r="N51" s="25" t="s">
        <v>195</v>
      </c>
      <c r="O51" s="25">
        <v>558</v>
      </c>
      <c r="P51" s="25">
        <v>141</v>
      </c>
      <c r="Q51" s="25">
        <v>3335</v>
      </c>
      <c r="R51" s="25">
        <v>7.9</v>
      </c>
      <c r="S51" s="25">
        <v>1794.1</v>
      </c>
      <c r="T51" s="25" t="s">
        <v>31</v>
      </c>
      <c r="U51" s="25" t="s">
        <v>32</v>
      </c>
      <c r="V51" s="29" t="s">
        <v>640</v>
      </c>
      <c r="W51" s="29" t="s">
        <v>258</v>
      </c>
      <c r="X51" s="29"/>
      <c r="Y51" s="29"/>
      <c r="Z51" s="29"/>
      <c r="AA51" s="29"/>
      <c r="AB51" s="29"/>
      <c r="AC51" s="30"/>
    </row>
    <row r="52" spans="1:29" ht="13.8" thickBot="1" x14ac:dyDescent="0.3">
      <c r="A52" s="24" t="s">
        <v>29</v>
      </c>
      <c r="B52" s="25" t="s">
        <v>53</v>
      </c>
      <c r="C52" s="25" t="s">
        <v>202</v>
      </c>
      <c r="D52" s="25" t="s">
        <v>201</v>
      </c>
      <c r="E52" s="26">
        <v>45860.717361111107</v>
      </c>
      <c r="F52" s="29" t="s">
        <v>352</v>
      </c>
      <c r="G52" s="25" t="s">
        <v>225</v>
      </c>
      <c r="H52" s="25" t="s">
        <v>224</v>
      </c>
      <c r="I52" s="25" t="s">
        <v>223</v>
      </c>
      <c r="J52" s="25" t="s">
        <v>222</v>
      </c>
      <c r="K52" s="31" t="s">
        <v>874</v>
      </c>
      <c r="L52" s="25" t="s">
        <v>221</v>
      </c>
      <c r="M52" s="25">
        <v>8</v>
      </c>
      <c r="N52" s="25" t="s">
        <v>195</v>
      </c>
      <c r="O52" s="25">
        <v>558</v>
      </c>
      <c r="P52" s="25">
        <v>43</v>
      </c>
      <c r="Q52" s="25">
        <v>1481</v>
      </c>
      <c r="R52" s="25">
        <v>2.41</v>
      </c>
      <c r="S52" s="25">
        <v>523.6</v>
      </c>
      <c r="T52" s="25" t="s">
        <v>31</v>
      </c>
      <c r="U52" s="25" t="s">
        <v>32</v>
      </c>
      <c r="V52" s="29" t="s">
        <v>640</v>
      </c>
      <c r="W52" s="29" t="s">
        <v>258</v>
      </c>
      <c r="X52" s="29"/>
      <c r="Y52" s="29"/>
      <c r="Z52" s="29"/>
      <c r="AA52" s="29"/>
      <c r="AB52" s="29"/>
      <c r="AC52" s="30"/>
    </row>
    <row r="53" spans="1:29" ht="13.8" thickBot="1" x14ac:dyDescent="0.3">
      <c r="A53" s="24" t="s">
        <v>29</v>
      </c>
      <c r="B53" s="25" t="s">
        <v>53</v>
      </c>
      <c r="C53" s="25" t="s">
        <v>202</v>
      </c>
      <c r="D53" s="25" t="s">
        <v>201</v>
      </c>
      <c r="E53" s="26">
        <v>45860.717361111107</v>
      </c>
      <c r="F53" s="29" t="s">
        <v>352</v>
      </c>
      <c r="G53" s="25" t="s">
        <v>218</v>
      </c>
      <c r="H53" s="25" t="s">
        <v>220</v>
      </c>
      <c r="I53" s="25" t="s">
        <v>219</v>
      </c>
      <c r="J53" s="25" t="s">
        <v>215</v>
      </c>
      <c r="K53" s="31" t="s">
        <v>875</v>
      </c>
      <c r="L53" s="25" t="s">
        <v>190</v>
      </c>
      <c r="M53" s="25">
        <v>9</v>
      </c>
      <c r="N53" s="25" t="s">
        <v>195</v>
      </c>
      <c r="O53" s="25">
        <v>558</v>
      </c>
      <c r="P53" s="25">
        <v>3</v>
      </c>
      <c r="Q53" s="25">
        <v>157</v>
      </c>
      <c r="R53" s="25">
        <v>0.17</v>
      </c>
      <c r="S53" s="25">
        <v>31.8</v>
      </c>
      <c r="T53" s="25" t="s">
        <v>31</v>
      </c>
      <c r="U53" s="25" t="s">
        <v>32</v>
      </c>
      <c r="V53" s="29" t="s">
        <v>640</v>
      </c>
      <c r="W53" s="29" t="s">
        <v>258</v>
      </c>
      <c r="X53" s="29"/>
      <c r="Y53" s="29"/>
      <c r="Z53" s="29"/>
      <c r="AA53" s="29"/>
      <c r="AB53" s="29"/>
      <c r="AC53" s="30"/>
    </row>
    <row r="54" spans="1:29" ht="13.8" thickBot="1" x14ac:dyDescent="0.3">
      <c r="A54" s="24" t="s">
        <v>29</v>
      </c>
      <c r="B54" s="25" t="s">
        <v>53</v>
      </c>
      <c r="C54" s="25" t="s">
        <v>202</v>
      </c>
      <c r="D54" s="25" t="s">
        <v>201</v>
      </c>
      <c r="E54" s="26">
        <v>45860.717361111107</v>
      </c>
      <c r="F54" s="29" t="s">
        <v>352</v>
      </c>
      <c r="G54" s="25" t="s">
        <v>218</v>
      </c>
      <c r="H54" s="25" t="s">
        <v>217</v>
      </c>
      <c r="I54" s="25" t="s">
        <v>216</v>
      </c>
      <c r="J54" s="25" t="s">
        <v>215</v>
      </c>
      <c r="K54" s="31" t="s">
        <v>875</v>
      </c>
      <c r="L54" s="25" t="s">
        <v>214</v>
      </c>
      <c r="M54" s="25">
        <v>10</v>
      </c>
      <c r="N54" s="25" t="s">
        <v>195</v>
      </c>
      <c r="O54" s="25">
        <v>558</v>
      </c>
      <c r="P54" s="25">
        <v>27</v>
      </c>
      <c r="Q54" s="25">
        <v>1251</v>
      </c>
      <c r="R54" s="25">
        <v>1.51</v>
      </c>
      <c r="S54" s="25">
        <v>291.60000000000002</v>
      </c>
      <c r="T54" s="25" t="s">
        <v>31</v>
      </c>
      <c r="U54" s="25" t="s">
        <v>32</v>
      </c>
      <c r="V54" s="29" t="s">
        <v>640</v>
      </c>
      <c r="W54" s="29" t="s">
        <v>258</v>
      </c>
      <c r="X54" s="29"/>
      <c r="Y54" s="29"/>
      <c r="Z54" s="29"/>
      <c r="AA54" s="29"/>
      <c r="AB54" s="29"/>
      <c r="AC54" s="30"/>
    </row>
    <row r="55" spans="1:29" ht="13.8" thickBot="1" x14ac:dyDescent="0.3">
      <c r="A55" s="24" t="s">
        <v>29</v>
      </c>
      <c r="B55" s="25" t="s">
        <v>53</v>
      </c>
      <c r="C55" s="25" t="s">
        <v>202</v>
      </c>
      <c r="D55" s="25" t="s">
        <v>201</v>
      </c>
      <c r="E55" s="26">
        <v>45860.717361111107</v>
      </c>
      <c r="F55" s="29" t="s">
        <v>352</v>
      </c>
      <c r="G55" s="25" t="s">
        <v>106</v>
      </c>
      <c r="H55" s="25" t="s">
        <v>213</v>
      </c>
      <c r="I55" s="25" t="s">
        <v>104</v>
      </c>
      <c r="J55" s="25" t="s">
        <v>212</v>
      </c>
      <c r="K55" s="31" t="s">
        <v>876</v>
      </c>
      <c r="L55" s="25" t="s">
        <v>196</v>
      </c>
      <c r="M55" s="25">
        <v>11</v>
      </c>
      <c r="N55" s="25" t="s">
        <v>195</v>
      </c>
      <c r="O55" s="25">
        <v>558</v>
      </c>
      <c r="P55" s="25">
        <v>44</v>
      </c>
      <c r="Q55" s="25">
        <v>1000</v>
      </c>
      <c r="R55" s="25">
        <v>2.46</v>
      </c>
      <c r="S55" s="25">
        <v>619.5</v>
      </c>
      <c r="T55" s="25" t="s">
        <v>31</v>
      </c>
      <c r="U55" s="25" t="s">
        <v>32</v>
      </c>
      <c r="V55" s="29" t="s">
        <v>640</v>
      </c>
      <c r="W55" s="29" t="s">
        <v>258</v>
      </c>
      <c r="X55" s="29"/>
      <c r="Y55" s="29"/>
      <c r="Z55" s="29"/>
      <c r="AA55" s="29"/>
      <c r="AB55" s="29"/>
      <c r="AC55" s="30"/>
    </row>
    <row r="56" spans="1:29" ht="13.8" thickBot="1" x14ac:dyDescent="0.3">
      <c r="A56" s="24" t="s">
        <v>29</v>
      </c>
      <c r="B56" s="25" t="s">
        <v>53</v>
      </c>
      <c r="C56" s="25" t="s">
        <v>202</v>
      </c>
      <c r="D56" s="25" t="s">
        <v>201</v>
      </c>
      <c r="E56" s="26">
        <v>45860.717361111107</v>
      </c>
      <c r="F56" s="29" t="s">
        <v>352</v>
      </c>
      <c r="G56" s="25" t="s">
        <v>211</v>
      </c>
      <c r="H56" s="25" t="s">
        <v>210</v>
      </c>
      <c r="I56" s="25" t="s">
        <v>209</v>
      </c>
      <c r="J56" s="25" t="s">
        <v>208</v>
      </c>
      <c r="K56" s="31" t="s">
        <v>877</v>
      </c>
      <c r="L56" s="25" t="s">
        <v>207</v>
      </c>
      <c r="M56" s="25">
        <v>12</v>
      </c>
      <c r="N56" s="25" t="s">
        <v>195</v>
      </c>
      <c r="O56" s="25">
        <v>558</v>
      </c>
      <c r="P56" s="25">
        <v>168</v>
      </c>
      <c r="Q56" s="25">
        <v>4025</v>
      </c>
      <c r="R56" s="25">
        <v>9.41</v>
      </c>
      <c r="S56" s="25">
        <v>2367.9</v>
      </c>
      <c r="T56" s="25" t="s">
        <v>31</v>
      </c>
      <c r="U56" s="25" t="s">
        <v>32</v>
      </c>
      <c r="V56" s="29" t="s">
        <v>640</v>
      </c>
      <c r="W56" s="29" t="s">
        <v>258</v>
      </c>
      <c r="X56" s="29"/>
      <c r="Y56" s="29"/>
      <c r="Z56" s="29"/>
      <c r="AA56" s="29"/>
      <c r="AB56" s="29"/>
      <c r="AC56" s="30"/>
    </row>
    <row r="57" spans="1:29" ht="13.8" thickBot="1" x14ac:dyDescent="0.3">
      <c r="A57" s="24" t="s">
        <v>29</v>
      </c>
      <c r="B57" s="25" t="s">
        <v>53</v>
      </c>
      <c r="C57" s="25" t="s">
        <v>202</v>
      </c>
      <c r="D57" s="25" t="s">
        <v>201</v>
      </c>
      <c r="E57" s="26">
        <v>45860.717361111107</v>
      </c>
      <c r="F57" s="29" t="s">
        <v>352</v>
      </c>
      <c r="G57" s="25" t="s">
        <v>206</v>
      </c>
      <c r="H57" s="25" t="s">
        <v>205</v>
      </c>
      <c r="I57" s="25" t="s">
        <v>204</v>
      </c>
      <c r="J57" s="25" t="s">
        <v>203</v>
      </c>
      <c r="K57" s="31" t="s">
        <v>878</v>
      </c>
      <c r="L57" s="25" t="s">
        <v>196</v>
      </c>
      <c r="M57" s="25">
        <v>13</v>
      </c>
      <c r="N57" s="25" t="s">
        <v>195</v>
      </c>
      <c r="O57" s="25">
        <v>558</v>
      </c>
      <c r="P57" s="25">
        <v>44</v>
      </c>
      <c r="Q57" s="25">
        <v>1013</v>
      </c>
      <c r="R57" s="25">
        <v>2.46</v>
      </c>
      <c r="S57" s="25">
        <v>619.5</v>
      </c>
      <c r="T57" s="25" t="s">
        <v>31</v>
      </c>
      <c r="U57" s="25" t="s">
        <v>32</v>
      </c>
      <c r="V57" s="29" t="s">
        <v>640</v>
      </c>
      <c r="W57" s="29" t="s">
        <v>258</v>
      </c>
      <c r="X57" s="29"/>
      <c r="Y57" s="29"/>
      <c r="Z57" s="29"/>
      <c r="AA57" s="29"/>
      <c r="AB57" s="29"/>
      <c r="AC57" s="30"/>
    </row>
    <row r="58" spans="1:29" ht="13.8" thickBot="1" x14ac:dyDescent="0.3">
      <c r="A58" s="24" t="s">
        <v>29</v>
      </c>
      <c r="B58" s="25" t="s">
        <v>53</v>
      </c>
      <c r="C58" s="25" t="s">
        <v>202</v>
      </c>
      <c r="D58" s="25" t="s">
        <v>201</v>
      </c>
      <c r="E58" s="26">
        <v>45860.717361111107</v>
      </c>
      <c r="F58" s="29" t="s">
        <v>352</v>
      </c>
      <c r="G58" s="25" t="s">
        <v>200</v>
      </c>
      <c r="H58" s="25" t="s">
        <v>199</v>
      </c>
      <c r="I58" s="25" t="s">
        <v>198</v>
      </c>
      <c r="J58" s="25" t="s">
        <v>197</v>
      </c>
      <c r="K58" s="31" t="s">
        <v>879</v>
      </c>
      <c r="L58" s="25" t="s">
        <v>196</v>
      </c>
      <c r="M58" s="25">
        <v>14</v>
      </c>
      <c r="N58" s="25" t="s">
        <v>195</v>
      </c>
      <c r="O58" s="25">
        <v>558</v>
      </c>
      <c r="P58" s="25">
        <v>44</v>
      </c>
      <c r="Q58" s="25">
        <v>1001</v>
      </c>
      <c r="R58" s="25">
        <v>2.46</v>
      </c>
      <c r="S58" s="25">
        <v>616.5</v>
      </c>
      <c r="T58" s="25" t="s">
        <v>31</v>
      </c>
      <c r="U58" s="25" t="s">
        <v>32</v>
      </c>
      <c r="V58" s="29" t="s">
        <v>640</v>
      </c>
      <c r="W58" s="29" t="s">
        <v>258</v>
      </c>
      <c r="X58" s="29"/>
      <c r="Y58" s="29"/>
      <c r="Z58" s="29"/>
      <c r="AA58" s="29"/>
      <c r="AB58" s="29"/>
      <c r="AC58" s="30"/>
    </row>
    <row r="59" spans="1:29" ht="13.8" thickBot="1" x14ac:dyDescent="0.3">
      <c r="A59" s="24"/>
      <c r="B59" s="25"/>
      <c r="C59" s="25"/>
      <c r="D59" s="25"/>
      <c r="E59" s="26"/>
      <c r="F59" s="29"/>
      <c r="G59" s="25"/>
      <c r="H59" s="25"/>
      <c r="I59" s="25"/>
      <c r="J59" s="25"/>
      <c r="K59" s="31"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9"/>
      <c r="W59" s="29"/>
      <c r="X59" s="29"/>
      <c r="Y59" s="29"/>
      <c r="Z59" s="29"/>
      <c r="AA59" s="29"/>
      <c r="AB59" s="29"/>
      <c r="AC59" s="30"/>
    </row>
    <row r="60" spans="1:29" ht="15" thickBot="1" x14ac:dyDescent="0.3">
      <c r="A60" s="24" t="s">
        <v>29</v>
      </c>
      <c r="B60" s="25" t="s">
        <v>53</v>
      </c>
      <c r="C60" s="25" t="s">
        <v>74</v>
      </c>
      <c r="D60" s="25" t="s">
        <v>73</v>
      </c>
      <c r="E60" s="26">
        <v>45859.736111111109</v>
      </c>
      <c r="F60" s="63" t="s">
        <v>641</v>
      </c>
      <c r="G60" s="25" t="s">
        <v>72</v>
      </c>
      <c r="H60" s="25" t="s">
        <v>71</v>
      </c>
      <c r="I60" s="25" t="s">
        <v>70</v>
      </c>
      <c r="J60" s="25" t="s">
        <v>69</v>
      </c>
      <c r="K60" s="21" t="s">
        <v>862</v>
      </c>
      <c r="L60" s="25" t="s">
        <v>49</v>
      </c>
      <c r="M60" s="25">
        <v>15</v>
      </c>
      <c r="N60" s="25" t="s">
        <v>68</v>
      </c>
      <c r="O60" s="25">
        <v>24</v>
      </c>
      <c r="P60" s="25">
        <v>24</v>
      </c>
      <c r="Q60" s="25">
        <v>1000</v>
      </c>
      <c r="R60" s="25">
        <v>0.56999999999999995</v>
      </c>
      <c r="S60" s="25">
        <v>123.8</v>
      </c>
      <c r="T60" s="25" t="s">
        <v>31</v>
      </c>
      <c r="U60" s="25" t="s">
        <v>32</v>
      </c>
      <c r="V60" s="29" t="s">
        <v>640</v>
      </c>
      <c r="W60" s="38" t="s">
        <v>233</v>
      </c>
      <c r="X60" s="29"/>
      <c r="Y60" s="29"/>
      <c r="Z60" s="32" t="s">
        <v>683</v>
      </c>
      <c r="AA60" s="33">
        <v>45867</v>
      </c>
      <c r="AB60" s="32" t="s">
        <v>573</v>
      </c>
      <c r="AC60" s="30"/>
    </row>
    <row r="61" spans="1:29" ht="13.8" thickBot="1" x14ac:dyDescent="0.3">
      <c r="A61" s="39"/>
      <c r="B61" s="29"/>
      <c r="C61" s="29"/>
      <c r="D61" s="29"/>
      <c r="E61" s="29"/>
      <c r="F61" s="29"/>
      <c r="G61" s="29"/>
      <c r="H61" s="29"/>
      <c r="I61" s="29"/>
      <c r="J61" s="29"/>
      <c r="K61" s="31">
        <v>0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30"/>
    </row>
    <row r="62" spans="1:29" ht="15" thickBot="1" x14ac:dyDescent="0.3">
      <c r="A62" s="24" t="s">
        <v>29</v>
      </c>
      <c r="B62" s="25" t="s">
        <v>41</v>
      </c>
      <c r="C62" s="25" t="s">
        <v>111</v>
      </c>
      <c r="D62" s="25" t="s">
        <v>112</v>
      </c>
      <c r="E62" s="26">
        <v>45859.96597222222</v>
      </c>
      <c r="F62" s="26">
        <v>45861.96597222222</v>
      </c>
      <c r="G62" s="25" t="s">
        <v>113</v>
      </c>
      <c r="H62" s="25" t="s">
        <v>114</v>
      </c>
      <c r="I62" s="25" t="s">
        <v>115</v>
      </c>
      <c r="J62" s="25" t="s">
        <v>116</v>
      </c>
      <c r="K62" s="31" t="s">
        <v>880</v>
      </c>
      <c r="L62" s="25" t="s">
        <v>117</v>
      </c>
      <c r="M62" s="25">
        <v>16</v>
      </c>
      <c r="N62" s="25" t="s">
        <v>118</v>
      </c>
      <c r="O62" s="25">
        <v>23</v>
      </c>
      <c r="P62" s="25">
        <v>23</v>
      </c>
      <c r="Q62" s="25">
        <v>391</v>
      </c>
      <c r="R62" s="25">
        <v>1.25</v>
      </c>
      <c r="S62" s="25">
        <v>224.45</v>
      </c>
      <c r="T62" s="25" t="s">
        <v>31</v>
      </c>
      <c r="U62" s="25" t="s">
        <v>32</v>
      </c>
      <c r="V62" s="29" t="s">
        <v>640</v>
      </c>
      <c r="W62" s="38" t="s">
        <v>233</v>
      </c>
      <c r="X62" s="29"/>
      <c r="Y62" s="29"/>
      <c r="Z62" s="32" t="s">
        <v>578</v>
      </c>
      <c r="AA62" s="33">
        <v>45861</v>
      </c>
      <c r="AB62" s="32" t="s">
        <v>575</v>
      </c>
      <c r="AC62" s="30"/>
    </row>
    <row r="63" spans="1:29" ht="13.8" thickBot="1" x14ac:dyDescent="0.3">
      <c r="A63" s="24"/>
      <c r="B63" s="25"/>
      <c r="C63" s="25"/>
      <c r="D63" s="25"/>
      <c r="E63" s="26"/>
      <c r="F63" s="26"/>
      <c r="G63" s="25"/>
      <c r="H63" s="25"/>
      <c r="I63" s="25"/>
      <c r="J63" s="25"/>
      <c r="K63" s="31"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9"/>
      <c r="W63" s="29"/>
      <c r="X63" s="29"/>
      <c r="Y63" s="29"/>
      <c r="Z63" s="29"/>
      <c r="AA63" s="29"/>
      <c r="AB63" s="29"/>
      <c r="AC63" s="30"/>
    </row>
    <row r="64" spans="1:29" ht="15" thickBot="1" x14ac:dyDescent="0.3">
      <c r="A64" s="24" t="s">
        <v>29</v>
      </c>
      <c r="B64" s="25" t="s">
        <v>41</v>
      </c>
      <c r="C64" s="25" t="s">
        <v>119</v>
      </c>
      <c r="D64" s="25" t="s">
        <v>120</v>
      </c>
      <c r="E64" s="26">
        <v>45859.963194444441</v>
      </c>
      <c r="F64" s="26">
        <v>45861.96597222222</v>
      </c>
      <c r="G64" s="25" t="s">
        <v>113</v>
      </c>
      <c r="H64" s="25" t="s">
        <v>121</v>
      </c>
      <c r="I64" s="25" t="s">
        <v>122</v>
      </c>
      <c r="J64" s="25" t="s">
        <v>123</v>
      </c>
      <c r="K64" s="31" t="s">
        <v>881</v>
      </c>
      <c r="L64" s="25" t="s">
        <v>124</v>
      </c>
      <c r="M64" s="25">
        <v>17</v>
      </c>
      <c r="N64" s="25" t="s">
        <v>118</v>
      </c>
      <c r="O64" s="25">
        <v>19</v>
      </c>
      <c r="P64" s="25">
        <v>19</v>
      </c>
      <c r="Q64" s="25">
        <v>298</v>
      </c>
      <c r="R64" s="25">
        <v>1.03</v>
      </c>
      <c r="S64" s="25">
        <v>172.74</v>
      </c>
      <c r="T64" s="25" t="s">
        <v>31</v>
      </c>
      <c r="U64" s="25" t="s">
        <v>32</v>
      </c>
      <c r="V64" s="29" t="s">
        <v>640</v>
      </c>
      <c r="W64" s="64" t="s">
        <v>234</v>
      </c>
      <c r="X64" s="29"/>
      <c r="Y64" s="29"/>
      <c r="Z64" s="32" t="s">
        <v>579</v>
      </c>
      <c r="AA64" s="33">
        <v>45861</v>
      </c>
      <c r="AB64" s="32" t="s">
        <v>575</v>
      </c>
      <c r="AC64" s="30"/>
    </row>
    <row r="65" spans="1:29" ht="13.8" thickBot="1" x14ac:dyDescent="0.3">
      <c r="A65" s="24"/>
      <c r="B65" s="25"/>
      <c r="C65" s="25"/>
      <c r="D65" s="25"/>
      <c r="E65" s="26"/>
      <c r="F65" s="26"/>
      <c r="G65" s="25"/>
      <c r="H65" s="25"/>
      <c r="I65" s="25"/>
      <c r="J65" s="25"/>
      <c r="K65" s="31"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9"/>
      <c r="W65" s="29"/>
      <c r="X65" s="29"/>
      <c r="Y65" s="29"/>
      <c r="Z65" s="29"/>
      <c r="AA65" s="29"/>
      <c r="AB65" s="29"/>
      <c r="AC65" s="30"/>
    </row>
    <row r="66" spans="1:29" ht="15" thickBot="1" x14ac:dyDescent="0.3">
      <c r="A66" s="24" t="s">
        <v>29</v>
      </c>
      <c r="B66" s="25" t="s">
        <v>41</v>
      </c>
      <c r="C66" s="25" t="s">
        <v>125</v>
      </c>
      <c r="D66" s="25" t="s">
        <v>126</v>
      </c>
      <c r="E66" s="26">
        <v>45859.959722222222</v>
      </c>
      <c r="F66" s="26">
        <v>45861.96597222222</v>
      </c>
      <c r="G66" s="25" t="s">
        <v>113</v>
      </c>
      <c r="H66" s="25" t="s">
        <v>127</v>
      </c>
      <c r="I66" s="25" t="s">
        <v>128</v>
      </c>
      <c r="J66" s="25" t="s">
        <v>129</v>
      </c>
      <c r="K66" s="31" t="s">
        <v>882</v>
      </c>
      <c r="L66" s="25" t="s">
        <v>130</v>
      </c>
      <c r="M66" s="25">
        <v>18</v>
      </c>
      <c r="N66" s="25" t="s">
        <v>131</v>
      </c>
      <c r="O66" s="25">
        <v>24</v>
      </c>
      <c r="P66" s="25">
        <v>5</v>
      </c>
      <c r="Q66" s="25">
        <v>84</v>
      </c>
      <c r="R66" s="25">
        <v>0.11</v>
      </c>
      <c r="S66" s="25">
        <v>48.37</v>
      </c>
      <c r="T66" s="25" t="s">
        <v>31</v>
      </c>
      <c r="U66" s="25" t="s">
        <v>32</v>
      </c>
      <c r="V66" s="29" t="s">
        <v>640</v>
      </c>
      <c r="W66" s="64" t="s">
        <v>234</v>
      </c>
      <c r="X66" s="29"/>
      <c r="Y66" s="29"/>
      <c r="Z66" s="32" t="s">
        <v>580</v>
      </c>
      <c r="AA66" s="33">
        <v>45861</v>
      </c>
      <c r="AB66" s="32" t="s">
        <v>575</v>
      </c>
      <c r="AC66" s="30"/>
    </row>
    <row r="67" spans="1:29" ht="15" thickBot="1" x14ac:dyDescent="0.3">
      <c r="A67" s="24" t="s">
        <v>29</v>
      </c>
      <c r="B67" s="25" t="s">
        <v>41</v>
      </c>
      <c r="C67" s="25" t="s">
        <v>125</v>
      </c>
      <c r="D67" s="25" t="s">
        <v>126</v>
      </c>
      <c r="E67" s="26">
        <v>45859.959722222222</v>
      </c>
      <c r="F67" s="26">
        <v>45861.96597222222</v>
      </c>
      <c r="G67" s="25" t="s">
        <v>113</v>
      </c>
      <c r="H67" s="25" t="s">
        <v>127</v>
      </c>
      <c r="I67" s="25" t="s">
        <v>128</v>
      </c>
      <c r="J67" s="25" t="s">
        <v>129</v>
      </c>
      <c r="K67" s="31" t="s">
        <v>882</v>
      </c>
      <c r="L67" s="25" t="s">
        <v>132</v>
      </c>
      <c r="M67" s="25">
        <v>18</v>
      </c>
      <c r="N67" s="25" t="s">
        <v>133</v>
      </c>
      <c r="O67" s="25">
        <v>24</v>
      </c>
      <c r="P67" s="25">
        <v>1</v>
      </c>
      <c r="Q67" s="25">
        <v>17</v>
      </c>
      <c r="R67" s="25">
        <v>0.03</v>
      </c>
      <c r="S67" s="25">
        <v>9.67</v>
      </c>
      <c r="T67" s="25" t="s">
        <v>31</v>
      </c>
      <c r="U67" s="25" t="s">
        <v>32</v>
      </c>
      <c r="V67" s="29" t="s">
        <v>640</v>
      </c>
      <c r="W67" s="64" t="s">
        <v>234</v>
      </c>
      <c r="X67" s="29"/>
      <c r="Y67" s="29"/>
      <c r="Z67" s="29"/>
      <c r="AA67" s="29"/>
      <c r="AB67" s="29"/>
      <c r="AC67" s="30"/>
    </row>
    <row r="68" spans="1:29" ht="15" thickBot="1" x14ac:dyDescent="0.3">
      <c r="A68" s="24" t="s">
        <v>29</v>
      </c>
      <c r="B68" s="25" t="s">
        <v>41</v>
      </c>
      <c r="C68" s="25" t="s">
        <v>125</v>
      </c>
      <c r="D68" s="25" t="s">
        <v>126</v>
      </c>
      <c r="E68" s="26">
        <v>45859.959722222222</v>
      </c>
      <c r="F68" s="26">
        <v>45861.96597222222</v>
      </c>
      <c r="G68" s="25" t="s">
        <v>113</v>
      </c>
      <c r="H68" s="25" t="s">
        <v>127</v>
      </c>
      <c r="I68" s="25" t="s">
        <v>128</v>
      </c>
      <c r="J68" s="25" t="s">
        <v>129</v>
      </c>
      <c r="K68" s="31" t="s">
        <v>882</v>
      </c>
      <c r="L68" s="25" t="s">
        <v>134</v>
      </c>
      <c r="M68" s="25">
        <v>18</v>
      </c>
      <c r="N68" s="25" t="s">
        <v>135</v>
      </c>
      <c r="O68" s="25">
        <v>24</v>
      </c>
      <c r="P68" s="25">
        <v>18</v>
      </c>
      <c r="Q68" s="25">
        <v>303</v>
      </c>
      <c r="R68" s="25">
        <v>0.96</v>
      </c>
      <c r="S68" s="25">
        <v>174.14</v>
      </c>
      <c r="T68" s="25" t="s">
        <v>31</v>
      </c>
      <c r="U68" s="25" t="s">
        <v>32</v>
      </c>
      <c r="V68" s="29" t="s">
        <v>640</v>
      </c>
      <c r="W68" s="64" t="s">
        <v>234</v>
      </c>
      <c r="X68" s="29"/>
      <c r="Y68" s="29"/>
      <c r="Z68" s="29"/>
      <c r="AA68" s="29"/>
      <c r="AB68" s="29"/>
      <c r="AC68" s="30"/>
    </row>
    <row r="69" spans="1:29" ht="13.8" thickBot="1" x14ac:dyDescent="0.3">
      <c r="A69" s="24"/>
      <c r="B69" s="25"/>
      <c r="C69" s="25"/>
      <c r="D69" s="25"/>
      <c r="E69" s="26"/>
      <c r="F69" s="26"/>
      <c r="G69" s="25"/>
      <c r="H69" s="25"/>
      <c r="I69" s="25"/>
      <c r="J69" s="25"/>
      <c r="K69" s="31">
        <v>0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9"/>
      <c r="W69" s="29"/>
      <c r="X69" s="29"/>
      <c r="Y69" s="29"/>
      <c r="Z69" s="29"/>
      <c r="AA69" s="29"/>
      <c r="AB69" s="29"/>
      <c r="AC69" s="30"/>
    </row>
    <row r="70" spans="1:29" ht="15" thickBot="1" x14ac:dyDescent="0.3">
      <c r="A70" s="24" t="s">
        <v>29</v>
      </c>
      <c r="B70" s="25" t="s">
        <v>41</v>
      </c>
      <c r="C70" s="25" t="s">
        <v>136</v>
      </c>
      <c r="D70" s="25" t="s">
        <v>137</v>
      </c>
      <c r="E70" s="26">
        <v>45859.964583333334</v>
      </c>
      <c r="F70" s="26">
        <v>45861.96597222222</v>
      </c>
      <c r="G70" s="25" t="s">
        <v>138</v>
      </c>
      <c r="H70" s="25" t="s">
        <v>139</v>
      </c>
      <c r="I70" s="25" t="s">
        <v>140</v>
      </c>
      <c r="J70" s="25" t="s">
        <v>141</v>
      </c>
      <c r="K70" s="31" t="s">
        <v>883</v>
      </c>
      <c r="L70" s="25" t="s">
        <v>117</v>
      </c>
      <c r="M70" s="25">
        <v>19</v>
      </c>
      <c r="N70" s="25" t="s">
        <v>118</v>
      </c>
      <c r="O70" s="25">
        <v>23</v>
      </c>
      <c r="P70" s="25">
        <v>23</v>
      </c>
      <c r="Q70" s="25">
        <v>393</v>
      </c>
      <c r="R70" s="25">
        <v>1.25</v>
      </c>
      <c r="S70" s="25">
        <v>215.24</v>
      </c>
      <c r="T70" s="25" t="s">
        <v>31</v>
      </c>
      <c r="U70" s="25" t="s">
        <v>32</v>
      </c>
      <c r="V70" s="29" t="s">
        <v>640</v>
      </c>
      <c r="W70" s="38" t="s">
        <v>233</v>
      </c>
      <c r="X70" s="29"/>
      <c r="Y70" s="29"/>
      <c r="Z70" s="32" t="s">
        <v>581</v>
      </c>
      <c r="AA70" s="33">
        <v>45861</v>
      </c>
      <c r="AB70" s="32" t="s">
        <v>575</v>
      </c>
      <c r="AC70" s="30"/>
    </row>
    <row r="71" spans="1:29" ht="13.8" thickBot="1" x14ac:dyDescent="0.3">
      <c r="A71" s="24"/>
      <c r="B71" s="25"/>
      <c r="C71" s="25"/>
      <c r="D71" s="25"/>
      <c r="E71" s="26"/>
      <c r="F71" s="26"/>
      <c r="G71" s="25"/>
      <c r="H71" s="25"/>
      <c r="I71" s="25"/>
      <c r="J71" s="25"/>
      <c r="K71" s="31">
        <v>0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9"/>
      <c r="W71" s="29"/>
      <c r="X71" s="29"/>
      <c r="Y71" s="29"/>
      <c r="Z71" s="29"/>
      <c r="AA71" s="29"/>
      <c r="AB71" s="29"/>
      <c r="AC71" s="30"/>
    </row>
    <row r="72" spans="1:29" ht="15" thickBot="1" x14ac:dyDescent="0.3">
      <c r="A72" s="24" t="s">
        <v>29</v>
      </c>
      <c r="B72" s="25" t="s">
        <v>41</v>
      </c>
      <c r="C72" s="25" t="s">
        <v>142</v>
      </c>
      <c r="D72" s="25" t="s">
        <v>143</v>
      </c>
      <c r="E72" s="26">
        <v>45859.968055555553</v>
      </c>
      <c r="F72" s="26">
        <v>45861.96597222222</v>
      </c>
      <c r="G72" s="25" t="s">
        <v>138</v>
      </c>
      <c r="H72" s="25" t="s">
        <v>144</v>
      </c>
      <c r="I72" s="25" t="s">
        <v>145</v>
      </c>
      <c r="J72" s="25" t="s">
        <v>146</v>
      </c>
      <c r="K72" s="31" t="s">
        <v>884</v>
      </c>
      <c r="L72" s="25" t="s">
        <v>117</v>
      </c>
      <c r="M72" s="25">
        <v>20</v>
      </c>
      <c r="N72" s="25" t="s">
        <v>118</v>
      </c>
      <c r="O72" s="25">
        <v>23</v>
      </c>
      <c r="P72" s="25">
        <v>23</v>
      </c>
      <c r="Q72" s="25">
        <v>396</v>
      </c>
      <c r="R72" s="25">
        <v>1.25</v>
      </c>
      <c r="S72" s="25">
        <v>216.63</v>
      </c>
      <c r="T72" s="25" t="s">
        <v>31</v>
      </c>
      <c r="U72" s="25" t="s">
        <v>32</v>
      </c>
      <c r="V72" s="29" t="s">
        <v>640</v>
      </c>
      <c r="W72" s="38" t="s">
        <v>233</v>
      </c>
      <c r="X72" s="29"/>
      <c r="Y72" s="29"/>
      <c r="Z72" s="32" t="s">
        <v>582</v>
      </c>
      <c r="AA72" s="33">
        <v>45861</v>
      </c>
      <c r="AB72" s="32" t="s">
        <v>575</v>
      </c>
      <c r="AC72" s="30"/>
    </row>
    <row r="73" spans="1:29" ht="13.8" thickBot="1" x14ac:dyDescent="0.3">
      <c r="A73" s="24"/>
      <c r="B73" s="25"/>
      <c r="C73" s="25"/>
      <c r="D73" s="25"/>
      <c r="E73" s="26"/>
      <c r="F73" s="26"/>
      <c r="G73" s="25"/>
      <c r="H73" s="25"/>
      <c r="I73" s="25"/>
      <c r="J73" s="25"/>
      <c r="K73" s="31">
        <v>0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9"/>
      <c r="W73" s="29"/>
      <c r="X73" s="29"/>
      <c r="Y73" s="29"/>
      <c r="Z73" s="29"/>
      <c r="AA73" s="29"/>
      <c r="AB73" s="29"/>
      <c r="AC73" s="30"/>
    </row>
    <row r="74" spans="1:29" ht="15" thickBot="1" x14ac:dyDescent="0.3">
      <c r="A74" s="24" t="s">
        <v>29</v>
      </c>
      <c r="B74" s="25" t="s">
        <v>41</v>
      </c>
      <c r="C74" s="25" t="s">
        <v>147</v>
      </c>
      <c r="D74" s="25" t="s">
        <v>148</v>
      </c>
      <c r="E74" s="26">
        <v>45859.966666666667</v>
      </c>
      <c r="F74" s="26">
        <v>45861.96597222222</v>
      </c>
      <c r="G74" s="25" t="s">
        <v>138</v>
      </c>
      <c r="H74" s="25" t="s">
        <v>149</v>
      </c>
      <c r="I74" s="25" t="s">
        <v>150</v>
      </c>
      <c r="J74" s="25" t="s">
        <v>151</v>
      </c>
      <c r="K74" s="31" t="s">
        <v>885</v>
      </c>
      <c r="L74" s="25" t="s">
        <v>117</v>
      </c>
      <c r="M74" s="25">
        <v>21</v>
      </c>
      <c r="N74" s="25" t="s">
        <v>118</v>
      </c>
      <c r="O74" s="25">
        <v>23</v>
      </c>
      <c r="P74" s="25">
        <v>23</v>
      </c>
      <c r="Q74" s="25">
        <v>385</v>
      </c>
      <c r="R74" s="25">
        <v>1.25</v>
      </c>
      <c r="S74" s="25">
        <v>211.43</v>
      </c>
      <c r="T74" s="25" t="s">
        <v>31</v>
      </c>
      <c r="U74" s="25" t="s">
        <v>32</v>
      </c>
      <c r="V74" s="29" t="s">
        <v>640</v>
      </c>
      <c r="W74" s="38" t="s">
        <v>233</v>
      </c>
      <c r="X74" s="29"/>
      <c r="Y74" s="29"/>
      <c r="Z74" s="32" t="s">
        <v>583</v>
      </c>
      <c r="AA74" s="33">
        <v>45861</v>
      </c>
      <c r="AB74" s="32" t="s">
        <v>575</v>
      </c>
      <c r="AC74" s="30"/>
    </row>
    <row r="75" spans="1:29" ht="13.8" thickBot="1" x14ac:dyDescent="0.3">
      <c r="A75" s="39"/>
      <c r="B75" s="29"/>
      <c r="C75" s="29"/>
      <c r="D75" s="29"/>
      <c r="E75" s="29"/>
      <c r="F75" s="29"/>
      <c r="G75" s="29"/>
      <c r="H75" s="29"/>
      <c r="I75" s="29"/>
      <c r="J75" s="29"/>
      <c r="K75" s="31">
        <v>0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30"/>
    </row>
    <row r="76" spans="1:29" ht="15" thickBot="1" x14ac:dyDescent="0.3">
      <c r="A76" s="24" t="s">
        <v>29</v>
      </c>
      <c r="B76" s="25" t="s">
        <v>152</v>
      </c>
      <c r="C76" s="25" t="s">
        <v>153</v>
      </c>
      <c r="D76" s="25" t="s">
        <v>154</v>
      </c>
      <c r="E76" s="26">
        <v>45859.780555555553</v>
      </c>
      <c r="F76" s="26">
        <v>45861.96597222222</v>
      </c>
      <c r="G76" s="25" t="s">
        <v>155</v>
      </c>
      <c r="H76" s="25" t="s">
        <v>156</v>
      </c>
      <c r="I76" s="25" t="s">
        <v>157</v>
      </c>
      <c r="J76" s="25" t="s">
        <v>158</v>
      </c>
      <c r="K76" s="31" t="s">
        <v>886</v>
      </c>
      <c r="L76" s="37" t="s">
        <v>189</v>
      </c>
      <c r="M76" s="37" t="s">
        <v>983</v>
      </c>
      <c r="N76" s="25" t="s">
        <v>135</v>
      </c>
      <c r="O76" s="25">
        <v>94</v>
      </c>
      <c r="P76" s="25">
        <v>94</v>
      </c>
      <c r="Q76" s="25">
        <v>2195</v>
      </c>
      <c r="R76" s="25">
        <v>5.03</v>
      </c>
      <c r="S76" s="25">
        <v>942.8</v>
      </c>
      <c r="T76" s="25" t="s">
        <v>31</v>
      </c>
      <c r="U76" s="25" t="s">
        <v>32</v>
      </c>
      <c r="V76" s="29" t="s">
        <v>640</v>
      </c>
      <c r="W76" s="38" t="s">
        <v>233</v>
      </c>
      <c r="X76" s="25"/>
      <c r="Y76" s="25"/>
      <c r="Z76" s="32" t="s">
        <v>584</v>
      </c>
      <c r="AA76" s="33">
        <v>45861</v>
      </c>
      <c r="AB76" s="32" t="s">
        <v>573</v>
      </c>
      <c r="AC76" s="30"/>
    </row>
    <row r="77" spans="1:29" ht="13.8" thickBot="1" x14ac:dyDescent="0.3">
      <c r="A77" s="24"/>
      <c r="B77" s="25"/>
      <c r="C77" s="25"/>
      <c r="D77" s="25"/>
      <c r="E77" s="26"/>
      <c r="F77" s="29"/>
      <c r="G77" s="25"/>
      <c r="H77" s="25"/>
      <c r="I77" s="25"/>
      <c r="J77" s="25"/>
      <c r="K77" s="31">
        <v>0</v>
      </c>
      <c r="L77" s="37"/>
      <c r="M77" s="37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9"/>
      <c r="AB77" s="29"/>
      <c r="AC77" s="30"/>
    </row>
    <row r="78" spans="1:29" ht="15" thickBot="1" x14ac:dyDescent="0.3">
      <c r="A78" s="24" t="s">
        <v>29</v>
      </c>
      <c r="B78" s="25" t="s">
        <v>152</v>
      </c>
      <c r="C78" s="25" t="s">
        <v>160</v>
      </c>
      <c r="D78" s="25" t="s">
        <v>161</v>
      </c>
      <c r="E78" s="26">
        <v>45859.78125</v>
      </c>
      <c r="F78" s="26">
        <v>45861.96597222222</v>
      </c>
      <c r="G78" s="25" t="s">
        <v>162</v>
      </c>
      <c r="H78" s="25" t="s">
        <v>163</v>
      </c>
      <c r="I78" s="25" t="s">
        <v>164</v>
      </c>
      <c r="J78" s="25" t="s">
        <v>165</v>
      </c>
      <c r="K78" s="31" t="s">
        <v>887</v>
      </c>
      <c r="L78" s="37" t="s">
        <v>190</v>
      </c>
      <c r="M78" s="37" t="s">
        <v>984</v>
      </c>
      <c r="N78" s="25" t="s">
        <v>135</v>
      </c>
      <c r="O78" s="25">
        <v>34</v>
      </c>
      <c r="P78" s="25">
        <v>3</v>
      </c>
      <c r="Q78" s="25">
        <v>108</v>
      </c>
      <c r="R78" s="25">
        <v>0.16</v>
      </c>
      <c r="S78" s="25">
        <v>23.5</v>
      </c>
      <c r="T78" s="25" t="s">
        <v>31</v>
      </c>
      <c r="U78" s="25" t="s">
        <v>32</v>
      </c>
      <c r="V78" s="29" t="s">
        <v>640</v>
      </c>
      <c r="W78" s="38" t="s">
        <v>233</v>
      </c>
      <c r="X78" s="25"/>
      <c r="Y78" s="25"/>
      <c r="Z78" s="32" t="s">
        <v>585</v>
      </c>
      <c r="AA78" s="33">
        <v>45861</v>
      </c>
      <c r="AB78" s="32" t="s">
        <v>573</v>
      </c>
      <c r="AC78" s="30"/>
    </row>
    <row r="79" spans="1:29" ht="15" thickBot="1" x14ac:dyDescent="0.3">
      <c r="A79" s="24" t="s">
        <v>29</v>
      </c>
      <c r="B79" s="25" t="s">
        <v>152</v>
      </c>
      <c r="C79" s="25" t="s">
        <v>160</v>
      </c>
      <c r="D79" s="25" t="s">
        <v>161</v>
      </c>
      <c r="E79" s="26">
        <v>45859.78125</v>
      </c>
      <c r="F79" s="26">
        <v>45861.96597222222</v>
      </c>
      <c r="G79" s="25" t="s">
        <v>162</v>
      </c>
      <c r="H79" s="25" t="s">
        <v>166</v>
      </c>
      <c r="I79" s="25" t="s">
        <v>167</v>
      </c>
      <c r="J79" s="25" t="s">
        <v>165</v>
      </c>
      <c r="K79" s="31" t="s">
        <v>887</v>
      </c>
      <c r="L79" s="37" t="s">
        <v>58</v>
      </c>
      <c r="M79" s="37" t="s">
        <v>961</v>
      </c>
      <c r="N79" s="25" t="s">
        <v>135</v>
      </c>
      <c r="O79" s="25">
        <v>34</v>
      </c>
      <c r="P79" s="25">
        <v>31</v>
      </c>
      <c r="Q79" s="25">
        <v>1132</v>
      </c>
      <c r="R79" s="25">
        <v>1.66</v>
      </c>
      <c r="S79" s="25">
        <v>294.39999999999998</v>
      </c>
      <c r="T79" s="25" t="s">
        <v>31</v>
      </c>
      <c r="U79" s="25" t="s">
        <v>32</v>
      </c>
      <c r="V79" s="29" t="s">
        <v>640</v>
      </c>
      <c r="W79" s="38" t="s">
        <v>233</v>
      </c>
      <c r="X79" s="25"/>
      <c r="Y79" s="25"/>
      <c r="Z79" s="25" t="s">
        <v>159</v>
      </c>
      <c r="AA79" s="29"/>
      <c r="AB79" s="29"/>
      <c r="AC79" s="30"/>
    </row>
    <row r="80" spans="1:29" ht="13.8" thickBot="1" x14ac:dyDescent="0.3">
      <c r="A80" s="24"/>
      <c r="B80" s="25"/>
      <c r="C80" s="25"/>
      <c r="D80" s="25"/>
      <c r="E80" s="26"/>
      <c r="F80" s="29"/>
      <c r="G80" s="25"/>
      <c r="H80" s="25"/>
      <c r="I80" s="25"/>
      <c r="J80" s="25"/>
      <c r="K80" s="31">
        <v>0</v>
      </c>
      <c r="L80" s="37"/>
      <c r="M80" s="37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9"/>
      <c r="AB80" s="29"/>
      <c r="AC80" s="30"/>
    </row>
    <row r="81" spans="1:29" x14ac:dyDescent="0.25">
      <c r="A81" s="40" t="s">
        <v>29</v>
      </c>
      <c r="B81" s="32" t="s">
        <v>152</v>
      </c>
      <c r="C81" s="32" t="s">
        <v>235</v>
      </c>
      <c r="D81" s="32" t="s">
        <v>236</v>
      </c>
      <c r="E81" s="26">
        <v>45860.717361111107</v>
      </c>
      <c r="F81" s="26">
        <v>45861.96597222222</v>
      </c>
      <c r="G81" s="32" t="s">
        <v>237</v>
      </c>
      <c r="H81" s="32" t="s">
        <v>238</v>
      </c>
      <c r="I81" s="32" t="s">
        <v>239</v>
      </c>
      <c r="J81" s="32" t="s">
        <v>240</v>
      </c>
      <c r="K81" s="31" t="s">
        <v>888</v>
      </c>
      <c r="L81" s="37" t="s">
        <v>254</v>
      </c>
      <c r="M81" s="37" t="s">
        <v>962</v>
      </c>
      <c r="N81" s="32" t="s">
        <v>135</v>
      </c>
      <c r="O81" s="32">
        <v>30</v>
      </c>
      <c r="P81" s="32">
        <v>30</v>
      </c>
      <c r="Q81" s="32">
        <v>973</v>
      </c>
      <c r="R81" s="32">
        <v>1.6</v>
      </c>
      <c r="S81" s="32">
        <v>375.3</v>
      </c>
      <c r="T81" s="25" t="s">
        <v>31</v>
      </c>
      <c r="U81" s="25" t="s">
        <v>32</v>
      </c>
      <c r="V81" s="29" t="s">
        <v>640</v>
      </c>
      <c r="W81" s="29" t="s">
        <v>258</v>
      </c>
      <c r="X81" s="32"/>
      <c r="Y81" s="32"/>
      <c r="Z81" s="32" t="s">
        <v>586</v>
      </c>
      <c r="AA81" s="33">
        <v>45861</v>
      </c>
      <c r="AB81" s="32" t="s">
        <v>573</v>
      </c>
      <c r="AC81" s="30"/>
    </row>
    <row r="82" spans="1:29" ht="13.8" thickBot="1" x14ac:dyDescent="0.3">
      <c r="A82" s="65"/>
      <c r="B82" s="66"/>
      <c r="C82" s="66"/>
      <c r="D82" s="66"/>
      <c r="E82" s="67"/>
      <c r="F82" s="57"/>
      <c r="G82" s="66"/>
      <c r="H82" s="66"/>
      <c r="I82" s="66"/>
      <c r="J82" s="66"/>
      <c r="K82" s="66"/>
      <c r="L82" s="57"/>
      <c r="M82" s="57"/>
      <c r="N82" s="66"/>
      <c r="O82" s="59" t="s">
        <v>644</v>
      </c>
      <c r="P82" s="59">
        <f>SUM(P44:P81)</f>
        <v>1143</v>
      </c>
      <c r="Q82" s="59">
        <f>SUM(Q44:Q81)</f>
        <v>29562</v>
      </c>
      <c r="R82" s="59">
        <f>SUM(R44:R81)</f>
        <v>64.650000000000006</v>
      </c>
      <c r="S82" s="59">
        <f>SUM(S44:S81)</f>
        <v>13534.769999999999</v>
      </c>
      <c r="T82" s="59" t="s">
        <v>645</v>
      </c>
      <c r="U82" s="68"/>
      <c r="V82" s="66"/>
      <c r="W82" s="66"/>
      <c r="X82" s="66"/>
      <c r="Y82" s="66"/>
      <c r="Z82" s="66"/>
      <c r="AA82" s="57"/>
      <c r="AB82" s="57"/>
      <c r="AC82" s="60"/>
    </row>
    <row r="85" spans="1:29" ht="13.8" thickBot="1" x14ac:dyDescent="0.3"/>
    <row r="86" spans="1:29" ht="13.8" thickBot="1" x14ac:dyDescent="0.3">
      <c r="A86" s="6" t="s">
        <v>679</v>
      </c>
    </row>
    <row r="87" spans="1:29" ht="13.8" thickBot="1" x14ac:dyDescent="0.3">
      <c r="A87" s="7" t="s">
        <v>2</v>
      </c>
      <c r="B87" s="8" t="s">
        <v>3</v>
      </c>
      <c r="C87" s="8" t="s">
        <v>4</v>
      </c>
      <c r="D87" s="8" t="s">
        <v>5</v>
      </c>
      <c r="E87" s="8" t="s">
        <v>6</v>
      </c>
      <c r="F87" s="8" t="s">
        <v>7</v>
      </c>
      <c r="G87" s="8" t="s">
        <v>8</v>
      </c>
      <c r="H87" s="8" t="s">
        <v>9</v>
      </c>
      <c r="I87" s="8" t="s">
        <v>10</v>
      </c>
      <c r="J87" s="8" t="s">
        <v>11</v>
      </c>
      <c r="K87" s="8" t="s">
        <v>860</v>
      </c>
      <c r="L87" s="8" t="s">
        <v>12</v>
      </c>
      <c r="M87" s="8" t="s">
        <v>950</v>
      </c>
      <c r="N87" s="8" t="s">
        <v>13</v>
      </c>
      <c r="O87" s="8" t="s">
        <v>14</v>
      </c>
      <c r="P87" s="8" t="s">
        <v>15</v>
      </c>
      <c r="Q87" s="8" t="s">
        <v>16</v>
      </c>
      <c r="R87" s="8" t="s">
        <v>17</v>
      </c>
      <c r="S87" s="8" t="s">
        <v>18</v>
      </c>
      <c r="T87" s="8" t="s">
        <v>19</v>
      </c>
      <c r="U87" s="8" t="s">
        <v>20</v>
      </c>
      <c r="V87" s="8" t="s">
        <v>21</v>
      </c>
      <c r="W87" s="9" t="s">
        <v>22</v>
      </c>
      <c r="X87" s="10" t="s">
        <v>23</v>
      </c>
      <c r="Y87" s="11" t="s">
        <v>24</v>
      </c>
      <c r="Z87" s="12" t="s">
        <v>25</v>
      </c>
      <c r="AA87" s="8" t="s">
        <v>26</v>
      </c>
      <c r="AB87" s="8" t="s">
        <v>27</v>
      </c>
      <c r="AC87" s="13" t="s">
        <v>28</v>
      </c>
    </row>
    <row r="88" spans="1:29" ht="13.8" thickBot="1" x14ac:dyDescent="0.3">
      <c r="A88" s="69" t="s">
        <v>29</v>
      </c>
      <c r="B88" s="70" t="s">
        <v>41</v>
      </c>
      <c r="C88" s="70" t="s">
        <v>281</v>
      </c>
      <c r="D88" s="70" t="s">
        <v>282</v>
      </c>
      <c r="E88" s="71">
        <v>45861.870138888888</v>
      </c>
      <c r="F88" s="19" t="s">
        <v>527</v>
      </c>
      <c r="G88" s="70" t="s">
        <v>283</v>
      </c>
      <c r="H88" s="70" t="s">
        <v>284</v>
      </c>
      <c r="I88" s="70" t="s">
        <v>285</v>
      </c>
      <c r="J88" s="70" t="s">
        <v>286</v>
      </c>
      <c r="K88" s="31" t="s">
        <v>889</v>
      </c>
      <c r="L88" s="72" t="s">
        <v>117</v>
      </c>
      <c r="M88" s="72">
        <v>1</v>
      </c>
      <c r="N88" s="70" t="s">
        <v>118</v>
      </c>
      <c r="O88" s="70">
        <v>23</v>
      </c>
      <c r="P88" s="70">
        <v>23</v>
      </c>
      <c r="Q88" s="70">
        <v>386</v>
      </c>
      <c r="R88" s="70">
        <v>1.25</v>
      </c>
      <c r="S88" s="70">
        <v>208.46</v>
      </c>
      <c r="T88" s="15" t="s">
        <v>31</v>
      </c>
      <c r="U88" s="21" t="s">
        <v>32</v>
      </c>
      <c r="V88" s="19" t="s">
        <v>640</v>
      </c>
      <c r="W88" s="21" t="s">
        <v>258</v>
      </c>
      <c r="X88" s="20" t="s">
        <v>850</v>
      </c>
      <c r="Y88" s="20" t="s">
        <v>851</v>
      </c>
      <c r="Z88" s="21" t="s">
        <v>594</v>
      </c>
      <c r="AA88" s="22">
        <v>45862</v>
      </c>
      <c r="AB88" s="21" t="s">
        <v>575</v>
      </c>
      <c r="AC88" s="23"/>
    </row>
    <row r="89" spans="1:29" ht="13.8" thickBot="1" x14ac:dyDescent="0.3">
      <c r="A89" s="43"/>
      <c r="B89" s="44"/>
      <c r="C89" s="44"/>
      <c r="D89" s="44"/>
      <c r="E89" s="45"/>
      <c r="F89" s="29"/>
      <c r="G89" s="44"/>
      <c r="H89" s="44"/>
      <c r="I89" s="44"/>
      <c r="J89" s="44"/>
      <c r="K89" s="31">
        <v>0</v>
      </c>
      <c r="L89" s="29"/>
      <c r="M89" s="29"/>
      <c r="N89" s="44"/>
      <c r="O89" s="44"/>
      <c r="P89" s="44"/>
      <c r="Q89" s="44"/>
      <c r="R89" s="44"/>
      <c r="S89" s="44"/>
      <c r="T89" s="25"/>
      <c r="U89" s="32"/>
      <c r="V89" s="44"/>
      <c r="W89" s="44"/>
      <c r="X89" s="44"/>
      <c r="Y89" s="44"/>
      <c r="Z89" s="44"/>
      <c r="AA89" s="29"/>
      <c r="AB89" s="29"/>
      <c r="AC89" s="30"/>
    </row>
    <row r="90" spans="1:29" ht="13.8" thickBot="1" x14ac:dyDescent="0.3">
      <c r="A90" s="43" t="s">
        <v>29</v>
      </c>
      <c r="B90" s="44" t="s">
        <v>41</v>
      </c>
      <c r="C90" s="44" t="s">
        <v>287</v>
      </c>
      <c r="D90" s="44" t="s">
        <v>288</v>
      </c>
      <c r="E90" s="45">
        <v>45861.870138888888</v>
      </c>
      <c r="F90" s="29" t="s">
        <v>527</v>
      </c>
      <c r="G90" s="44" t="s">
        <v>283</v>
      </c>
      <c r="H90" s="44" t="s">
        <v>289</v>
      </c>
      <c r="I90" s="44" t="s">
        <v>290</v>
      </c>
      <c r="J90" s="44" t="s">
        <v>291</v>
      </c>
      <c r="K90" s="31" t="s">
        <v>890</v>
      </c>
      <c r="L90" s="46" t="s">
        <v>303</v>
      </c>
      <c r="M90" s="46">
        <v>2</v>
      </c>
      <c r="N90" s="44" t="s">
        <v>292</v>
      </c>
      <c r="O90" s="44">
        <v>25</v>
      </c>
      <c r="P90" s="44">
        <v>25</v>
      </c>
      <c r="Q90" s="44">
        <v>394</v>
      </c>
      <c r="R90" s="44">
        <v>1.31</v>
      </c>
      <c r="S90" s="44">
        <v>214.32</v>
      </c>
      <c r="T90" s="25" t="s">
        <v>31</v>
      </c>
      <c r="U90" s="32" t="s">
        <v>32</v>
      </c>
      <c r="V90" s="29" t="s">
        <v>640</v>
      </c>
      <c r="W90" s="32" t="s">
        <v>258</v>
      </c>
      <c r="X90" s="44"/>
      <c r="Y90" s="44"/>
      <c r="Z90" s="32" t="s">
        <v>595</v>
      </c>
      <c r="AA90" s="33">
        <v>45862</v>
      </c>
      <c r="AB90" s="32" t="s">
        <v>575</v>
      </c>
      <c r="AC90" s="30"/>
    </row>
    <row r="91" spans="1:29" ht="13.8" thickBot="1" x14ac:dyDescent="0.3">
      <c r="A91" s="43"/>
      <c r="B91" s="44"/>
      <c r="C91" s="44"/>
      <c r="D91" s="44"/>
      <c r="E91" s="45"/>
      <c r="F91" s="29"/>
      <c r="G91" s="44"/>
      <c r="H91" s="44"/>
      <c r="I91" s="44"/>
      <c r="J91" s="44"/>
      <c r="K91" s="31">
        <v>0</v>
      </c>
      <c r="L91" s="29"/>
      <c r="M91" s="29"/>
      <c r="N91" s="44"/>
      <c r="O91" s="44"/>
      <c r="P91" s="44"/>
      <c r="Q91" s="44"/>
      <c r="R91" s="44"/>
      <c r="S91" s="44"/>
      <c r="T91" s="25"/>
      <c r="U91" s="32"/>
      <c r="V91" s="44"/>
      <c r="W91" s="44"/>
      <c r="X91" s="44"/>
      <c r="Y91" s="44"/>
      <c r="Z91" s="44"/>
      <c r="AA91" s="29"/>
      <c r="AB91" s="29"/>
      <c r="AC91" s="30"/>
    </row>
    <row r="92" spans="1:29" ht="13.8" thickBot="1" x14ac:dyDescent="0.3">
      <c r="A92" s="43" t="s">
        <v>29</v>
      </c>
      <c r="B92" s="44" t="s">
        <v>41</v>
      </c>
      <c r="C92" s="44" t="s">
        <v>293</v>
      </c>
      <c r="D92" s="44" t="s">
        <v>294</v>
      </c>
      <c r="E92" s="45">
        <v>45861.870138888888</v>
      </c>
      <c r="F92" s="29" t="s">
        <v>527</v>
      </c>
      <c r="G92" s="44" t="s">
        <v>283</v>
      </c>
      <c r="H92" s="44" t="s">
        <v>295</v>
      </c>
      <c r="I92" s="44" t="s">
        <v>296</v>
      </c>
      <c r="J92" s="44" t="s">
        <v>297</v>
      </c>
      <c r="K92" s="31" t="s">
        <v>891</v>
      </c>
      <c r="L92" s="46" t="s">
        <v>303</v>
      </c>
      <c r="M92" s="46">
        <v>3</v>
      </c>
      <c r="N92" s="44" t="s">
        <v>298</v>
      </c>
      <c r="O92" s="44">
        <v>25</v>
      </c>
      <c r="P92" s="44">
        <v>25</v>
      </c>
      <c r="Q92" s="44">
        <v>394</v>
      </c>
      <c r="R92" s="44">
        <v>1.47</v>
      </c>
      <c r="S92" s="44">
        <v>214.23</v>
      </c>
      <c r="T92" s="25" t="s">
        <v>31</v>
      </c>
      <c r="U92" s="32" t="s">
        <v>32</v>
      </c>
      <c r="V92" s="29" t="s">
        <v>640</v>
      </c>
      <c r="W92" s="32" t="s">
        <v>258</v>
      </c>
      <c r="X92" s="44"/>
      <c r="Y92" s="44"/>
      <c r="Z92" s="32" t="s">
        <v>596</v>
      </c>
      <c r="AA92" s="33">
        <v>45862</v>
      </c>
      <c r="AB92" s="32" t="s">
        <v>575</v>
      </c>
      <c r="AC92" s="30"/>
    </row>
    <row r="93" spans="1:29" ht="13.8" thickBot="1" x14ac:dyDescent="0.3">
      <c r="A93" s="39"/>
      <c r="B93" s="29"/>
      <c r="C93" s="29"/>
      <c r="D93" s="29"/>
      <c r="E93" s="29"/>
      <c r="F93" s="29"/>
      <c r="G93" s="29"/>
      <c r="H93" s="29"/>
      <c r="I93" s="29"/>
      <c r="J93" s="29"/>
      <c r="K93" s="31">
        <v>0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30"/>
    </row>
    <row r="94" spans="1:29" ht="15" thickBot="1" x14ac:dyDescent="0.3">
      <c r="A94" s="43" t="s">
        <v>29</v>
      </c>
      <c r="B94" s="44" t="s">
        <v>39</v>
      </c>
      <c r="C94" s="44" t="s">
        <v>259</v>
      </c>
      <c r="D94" s="44" t="s">
        <v>260</v>
      </c>
      <c r="E94" s="45">
        <v>45861.870138888888</v>
      </c>
      <c r="F94" s="29" t="s">
        <v>528</v>
      </c>
      <c r="G94" s="44" t="s">
        <v>261</v>
      </c>
      <c r="H94" s="44" t="s">
        <v>262</v>
      </c>
      <c r="I94" s="44" t="s">
        <v>263</v>
      </c>
      <c r="J94" s="44" t="s">
        <v>264</v>
      </c>
      <c r="K94" s="31" t="s">
        <v>892</v>
      </c>
      <c r="L94" s="46" t="s">
        <v>301</v>
      </c>
      <c r="M94" s="46">
        <v>4</v>
      </c>
      <c r="N94" s="44" t="s">
        <v>265</v>
      </c>
      <c r="O94" s="44">
        <v>245</v>
      </c>
      <c r="P94" s="44">
        <v>109</v>
      </c>
      <c r="Q94" s="44">
        <v>1600</v>
      </c>
      <c r="R94" s="44">
        <v>9.5</v>
      </c>
      <c r="S94" s="44">
        <v>1458.62</v>
      </c>
      <c r="T94" s="25" t="s">
        <v>31</v>
      </c>
      <c r="U94" s="32" t="s">
        <v>32</v>
      </c>
      <c r="V94" s="29" t="s">
        <v>640</v>
      </c>
      <c r="W94" s="38" t="s">
        <v>233</v>
      </c>
      <c r="X94" s="44"/>
      <c r="Y94" s="44"/>
      <c r="Z94" s="32" t="s">
        <v>597</v>
      </c>
      <c r="AA94" s="33">
        <v>45864</v>
      </c>
      <c r="AB94" s="32" t="s">
        <v>573</v>
      </c>
      <c r="AC94" s="30"/>
    </row>
    <row r="95" spans="1:29" ht="15" thickBot="1" x14ac:dyDescent="0.3">
      <c r="A95" s="43" t="s">
        <v>29</v>
      </c>
      <c r="B95" s="44" t="s">
        <v>39</v>
      </c>
      <c r="C95" s="44" t="s">
        <v>259</v>
      </c>
      <c r="D95" s="44" t="s">
        <v>260</v>
      </c>
      <c r="E95" s="45">
        <v>45861.870138888888</v>
      </c>
      <c r="F95" s="29" t="s">
        <v>528</v>
      </c>
      <c r="G95" s="44" t="s">
        <v>266</v>
      </c>
      <c r="H95" s="44" t="s">
        <v>267</v>
      </c>
      <c r="I95" s="44" t="s">
        <v>268</v>
      </c>
      <c r="J95" s="44" t="s">
        <v>264</v>
      </c>
      <c r="K95" s="31" t="s">
        <v>892</v>
      </c>
      <c r="L95" s="46" t="s">
        <v>302</v>
      </c>
      <c r="M95" s="46">
        <v>5</v>
      </c>
      <c r="N95" s="44" t="s">
        <v>265</v>
      </c>
      <c r="O95" s="44">
        <v>245</v>
      </c>
      <c r="P95" s="44">
        <v>136</v>
      </c>
      <c r="Q95" s="44">
        <v>2000</v>
      </c>
      <c r="R95" s="44">
        <v>11.85</v>
      </c>
      <c r="S95" s="44">
        <v>1825.2</v>
      </c>
      <c r="T95" s="25" t="s">
        <v>31</v>
      </c>
      <c r="U95" s="32" t="s">
        <v>32</v>
      </c>
      <c r="V95" s="29" t="s">
        <v>640</v>
      </c>
      <c r="W95" s="38" t="s">
        <v>234</v>
      </c>
      <c r="X95" s="44"/>
      <c r="Y95" s="44"/>
      <c r="Z95" s="44"/>
      <c r="AA95" s="29"/>
      <c r="AB95" s="29"/>
      <c r="AC95" s="30"/>
    </row>
    <row r="96" spans="1:29" ht="13.8" thickBot="1" x14ac:dyDescent="0.3">
      <c r="A96" s="43"/>
      <c r="B96" s="44"/>
      <c r="C96" s="44"/>
      <c r="D96" s="44"/>
      <c r="E96" s="45"/>
      <c r="F96" s="45"/>
      <c r="G96" s="44"/>
      <c r="H96" s="44"/>
      <c r="I96" s="44"/>
      <c r="J96" s="44"/>
      <c r="K96" s="31">
        <v>0</v>
      </c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29"/>
      <c r="W96" s="29"/>
      <c r="X96" s="29"/>
      <c r="Y96" s="29"/>
      <c r="Z96" s="29"/>
      <c r="AA96" s="29"/>
      <c r="AB96" s="29"/>
      <c r="AC96" s="30"/>
    </row>
    <row r="97" spans="1:29" ht="15" thickBot="1" x14ac:dyDescent="0.3">
      <c r="A97" s="43" t="s">
        <v>29</v>
      </c>
      <c r="B97" s="44" t="s">
        <v>39</v>
      </c>
      <c r="C97" s="44" t="s">
        <v>321</v>
      </c>
      <c r="D97" s="44" t="s">
        <v>322</v>
      </c>
      <c r="E97" s="45">
        <v>45862.661111111112</v>
      </c>
      <c r="F97" s="29" t="s">
        <v>528</v>
      </c>
      <c r="G97" s="44" t="s">
        <v>323</v>
      </c>
      <c r="H97" s="44" t="s">
        <v>324</v>
      </c>
      <c r="I97" s="44" t="s">
        <v>325</v>
      </c>
      <c r="J97" s="44" t="s">
        <v>326</v>
      </c>
      <c r="K97" s="31" t="s">
        <v>893</v>
      </c>
      <c r="L97" s="44" t="s">
        <v>327</v>
      </c>
      <c r="M97" s="44">
        <v>6</v>
      </c>
      <c r="N97" s="44" t="s">
        <v>265</v>
      </c>
      <c r="O97" s="44">
        <v>59</v>
      </c>
      <c r="P97" s="44">
        <v>59</v>
      </c>
      <c r="Q97" s="44">
        <v>1000</v>
      </c>
      <c r="R97" s="44">
        <v>5.14</v>
      </c>
      <c r="S97" s="44">
        <v>524.72</v>
      </c>
      <c r="T97" s="44" t="s">
        <v>31</v>
      </c>
      <c r="U97" s="44" t="s">
        <v>32</v>
      </c>
      <c r="V97" s="29" t="s">
        <v>640</v>
      </c>
      <c r="W97" s="38" t="s">
        <v>233</v>
      </c>
      <c r="X97" s="29"/>
      <c r="Y97" s="29"/>
      <c r="Z97" s="32" t="s">
        <v>598</v>
      </c>
      <c r="AA97" s="33">
        <v>45864</v>
      </c>
      <c r="AB97" s="32" t="s">
        <v>573</v>
      </c>
      <c r="AC97" s="30"/>
    </row>
    <row r="98" spans="1:29" ht="13.8" thickBot="1" x14ac:dyDescent="0.3">
      <c r="A98" s="43"/>
      <c r="B98" s="44"/>
      <c r="C98" s="44"/>
      <c r="D98" s="44"/>
      <c r="E98" s="45"/>
      <c r="F98" s="45"/>
      <c r="G98" s="44"/>
      <c r="H98" s="44"/>
      <c r="I98" s="44"/>
      <c r="J98" s="44"/>
      <c r="K98" s="31">
        <v>0</v>
      </c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29"/>
      <c r="W98" s="29"/>
      <c r="X98" s="29"/>
      <c r="Y98" s="29"/>
      <c r="Z98" s="29"/>
      <c r="AA98" s="29"/>
      <c r="AB98" s="29"/>
      <c r="AC98" s="30"/>
    </row>
    <row r="99" spans="1:29" ht="15" thickBot="1" x14ac:dyDescent="0.3">
      <c r="A99" s="43" t="s">
        <v>29</v>
      </c>
      <c r="B99" s="44" t="s">
        <v>39</v>
      </c>
      <c r="C99" s="44" t="s">
        <v>328</v>
      </c>
      <c r="D99" s="44" t="s">
        <v>329</v>
      </c>
      <c r="E99" s="45">
        <v>45862.661805555559</v>
      </c>
      <c r="F99" s="29" t="s">
        <v>528</v>
      </c>
      <c r="G99" s="44" t="s">
        <v>330</v>
      </c>
      <c r="H99" s="44" t="s">
        <v>331</v>
      </c>
      <c r="I99" s="44" t="s">
        <v>325</v>
      </c>
      <c r="J99" s="44" t="s">
        <v>332</v>
      </c>
      <c r="K99" s="31" t="s">
        <v>894</v>
      </c>
      <c r="L99" s="44" t="s">
        <v>327</v>
      </c>
      <c r="M99" s="44">
        <v>7</v>
      </c>
      <c r="N99" s="44" t="s">
        <v>265</v>
      </c>
      <c r="O99" s="44">
        <v>59</v>
      </c>
      <c r="P99" s="44">
        <v>59</v>
      </c>
      <c r="Q99" s="44">
        <v>1000</v>
      </c>
      <c r="R99" s="44">
        <v>5.14</v>
      </c>
      <c r="S99" s="44">
        <v>524.5</v>
      </c>
      <c r="T99" s="44" t="s">
        <v>31</v>
      </c>
      <c r="U99" s="44" t="s">
        <v>32</v>
      </c>
      <c r="V99" s="29" t="s">
        <v>640</v>
      </c>
      <c r="W99" s="38" t="s">
        <v>233</v>
      </c>
      <c r="X99" s="29"/>
      <c r="Y99" s="29"/>
      <c r="Z99" s="32" t="s">
        <v>599</v>
      </c>
      <c r="AA99" s="33">
        <v>45864</v>
      </c>
      <c r="AB99" s="32" t="s">
        <v>573</v>
      </c>
      <c r="AC99" s="30"/>
    </row>
    <row r="100" spans="1:29" ht="13.8" thickBot="1" x14ac:dyDescent="0.3">
      <c r="A100" s="43"/>
      <c r="B100" s="44"/>
      <c r="C100" s="44"/>
      <c r="D100" s="44"/>
      <c r="E100" s="45"/>
      <c r="F100" s="45"/>
      <c r="G100" s="44"/>
      <c r="H100" s="44"/>
      <c r="I100" s="44"/>
      <c r="J100" s="44"/>
      <c r="K100" s="31">
        <v>0</v>
      </c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29"/>
      <c r="W100" s="29"/>
      <c r="X100" s="29"/>
      <c r="Y100" s="29"/>
      <c r="Z100" s="29"/>
      <c r="AA100" s="29"/>
      <c r="AB100" s="29"/>
      <c r="AC100" s="30"/>
    </row>
    <row r="101" spans="1:29" ht="15" thickBot="1" x14ac:dyDescent="0.3">
      <c r="A101" s="73" t="s">
        <v>29</v>
      </c>
      <c r="B101" s="52" t="s">
        <v>30</v>
      </c>
      <c r="C101" s="52" t="s">
        <v>353</v>
      </c>
      <c r="D101" s="52" t="s">
        <v>354</v>
      </c>
      <c r="E101" s="51">
        <v>45862.876388888893</v>
      </c>
      <c r="F101" s="29" t="s">
        <v>528</v>
      </c>
      <c r="G101" s="52" t="s">
        <v>355</v>
      </c>
      <c r="H101" s="52" t="s">
        <v>356</v>
      </c>
      <c r="I101" s="52" t="s">
        <v>357</v>
      </c>
      <c r="J101" s="52" t="s">
        <v>358</v>
      </c>
      <c r="K101" s="31" t="s">
        <v>895</v>
      </c>
      <c r="L101" s="37" t="s">
        <v>436</v>
      </c>
      <c r="M101" s="37" t="s">
        <v>963</v>
      </c>
      <c r="N101" s="52" t="s">
        <v>359</v>
      </c>
      <c r="O101" s="52">
        <v>71</v>
      </c>
      <c r="P101" s="52">
        <v>32</v>
      </c>
      <c r="Q101" s="52">
        <v>940</v>
      </c>
      <c r="R101" s="52">
        <v>2.19</v>
      </c>
      <c r="S101" s="52">
        <v>394.26</v>
      </c>
      <c r="T101" s="44" t="s">
        <v>31</v>
      </c>
      <c r="U101" s="44" t="s">
        <v>32</v>
      </c>
      <c r="V101" s="29" t="s">
        <v>640</v>
      </c>
      <c r="W101" s="38" t="s">
        <v>233</v>
      </c>
      <c r="X101" s="52"/>
      <c r="Y101" s="52"/>
      <c r="Z101" s="32" t="s">
        <v>601</v>
      </c>
      <c r="AA101" s="33">
        <v>45864</v>
      </c>
      <c r="AB101" s="32" t="s">
        <v>573</v>
      </c>
      <c r="AC101" s="30"/>
    </row>
    <row r="102" spans="1:29" ht="15" thickBot="1" x14ac:dyDescent="0.3">
      <c r="A102" s="73" t="s">
        <v>29</v>
      </c>
      <c r="B102" s="52" t="s">
        <v>30</v>
      </c>
      <c r="C102" s="52" t="s">
        <v>353</v>
      </c>
      <c r="D102" s="52" t="s">
        <v>354</v>
      </c>
      <c r="E102" s="51">
        <v>45862.876388888893</v>
      </c>
      <c r="F102" s="29" t="s">
        <v>528</v>
      </c>
      <c r="G102" s="52" t="s">
        <v>360</v>
      </c>
      <c r="H102" s="52" t="s">
        <v>361</v>
      </c>
      <c r="I102" s="52" t="s">
        <v>362</v>
      </c>
      <c r="J102" s="52" t="s">
        <v>363</v>
      </c>
      <c r="K102" s="31" t="s">
        <v>896</v>
      </c>
      <c r="L102" s="37" t="s">
        <v>300</v>
      </c>
      <c r="M102" s="37" t="s">
        <v>964</v>
      </c>
      <c r="N102" s="52" t="s">
        <v>359</v>
      </c>
      <c r="O102" s="52">
        <v>71</v>
      </c>
      <c r="P102" s="52">
        <v>39</v>
      </c>
      <c r="Q102" s="52">
        <v>1127</v>
      </c>
      <c r="R102" s="52">
        <v>2.67</v>
      </c>
      <c r="S102" s="52">
        <v>485.38</v>
      </c>
      <c r="T102" s="44" t="s">
        <v>31</v>
      </c>
      <c r="U102" s="44" t="s">
        <v>32</v>
      </c>
      <c r="V102" s="29" t="s">
        <v>640</v>
      </c>
      <c r="W102" s="38" t="s">
        <v>233</v>
      </c>
      <c r="X102" s="52"/>
      <c r="Y102" s="52"/>
      <c r="Z102" s="52"/>
      <c r="AA102" s="29"/>
      <c r="AB102" s="29"/>
      <c r="AC102" s="30"/>
    </row>
    <row r="103" spans="1:29" ht="13.8" thickBot="1" x14ac:dyDescent="0.3">
      <c r="A103" s="73"/>
      <c r="B103" s="52"/>
      <c r="C103" s="52"/>
      <c r="D103" s="52"/>
      <c r="E103" s="51"/>
      <c r="F103" s="29"/>
      <c r="G103" s="52"/>
      <c r="H103" s="52"/>
      <c r="I103" s="52"/>
      <c r="J103" s="52"/>
      <c r="K103" s="31">
        <v>0</v>
      </c>
      <c r="L103" s="37"/>
      <c r="M103" s="37"/>
      <c r="N103" s="52"/>
      <c r="O103" s="52"/>
      <c r="P103" s="52"/>
      <c r="Q103" s="52"/>
      <c r="R103" s="52"/>
      <c r="S103" s="52"/>
      <c r="T103" s="44"/>
      <c r="U103" s="52"/>
      <c r="V103" s="52"/>
      <c r="W103" s="52"/>
      <c r="X103" s="52"/>
      <c r="Y103" s="52"/>
      <c r="Z103" s="52"/>
      <c r="AA103" s="29"/>
      <c r="AB103" s="29"/>
      <c r="AC103" s="30"/>
    </row>
    <row r="104" spans="1:29" ht="15" thickBot="1" x14ac:dyDescent="0.3">
      <c r="A104" s="73" t="s">
        <v>29</v>
      </c>
      <c r="B104" s="52" t="s">
        <v>364</v>
      </c>
      <c r="C104" s="52" t="s">
        <v>365</v>
      </c>
      <c r="D104" s="52" t="s">
        <v>366</v>
      </c>
      <c r="E104" s="51">
        <v>45862.875694444447</v>
      </c>
      <c r="F104" s="29" t="s">
        <v>528</v>
      </c>
      <c r="G104" s="52" t="s">
        <v>367</v>
      </c>
      <c r="H104" s="52" t="s">
        <v>368</v>
      </c>
      <c r="I104" s="52" t="s">
        <v>369</v>
      </c>
      <c r="J104" s="52" t="s">
        <v>370</v>
      </c>
      <c r="K104" s="31" t="s">
        <v>897</v>
      </c>
      <c r="L104" s="37" t="s">
        <v>437</v>
      </c>
      <c r="M104" s="37" t="s">
        <v>951</v>
      </c>
      <c r="N104" s="52" t="s">
        <v>371</v>
      </c>
      <c r="O104" s="52">
        <v>149</v>
      </c>
      <c r="P104" s="52">
        <v>149</v>
      </c>
      <c r="Q104" s="52">
        <v>2523</v>
      </c>
      <c r="R104" s="52">
        <v>9.74</v>
      </c>
      <c r="S104" s="52">
        <v>1770.9</v>
      </c>
      <c r="T104" s="44" t="s">
        <v>31</v>
      </c>
      <c r="U104" s="52" t="s">
        <v>32</v>
      </c>
      <c r="V104" s="29" t="s">
        <v>640</v>
      </c>
      <c r="W104" s="38" t="s">
        <v>233</v>
      </c>
      <c r="X104" s="52"/>
      <c r="Y104" s="52"/>
      <c r="Z104" s="32" t="s">
        <v>602</v>
      </c>
      <c r="AA104" s="33">
        <v>45862</v>
      </c>
      <c r="AB104" s="32" t="s">
        <v>573</v>
      </c>
      <c r="AC104" s="30"/>
    </row>
    <row r="105" spans="1:29" ht="13.8" thickBot="1" x14ac:dyDescent="0.3">
      <c r="A105" s="73"/>
      <c r="B105" s="52"/>
      <c r="C105" s="52"/>
      <c r="D105" s="52"/>
      <c r="E105" s="51"/>
      <c r="F105" s="29"/>
      <c r="G105" s="52"/>
      <c r="H105" s="52"/>
      <c r="I105" s="52"/>
      <c r="J105" s="52"/>
      <c r="K105" s="31">
        <v>0</v>
      </c>
      <c r="L105" s="37"/>
      <c r="M105" s="37"/>
      <c r="N105" s="52"/>
      <c r="O105" s="52"/>
      <c r="P105" s="52"/>
      <c r="Q105" s="52"/>
      <c r="R105" s="52"/>
      <c r="S105" s="52"/>
      <c r="T105" s="44"/>
      <c r="U105" s="52"/>
      <c r="V105" s="52"/>
      <c r="W105" s="52"/>
      <c r="X105" s="52"/>
      <c r="Y105" s="52"/>
      <c r="Z105" s="52"/>
      <c r="AA105" s="29"/>
      <c r="AB105" s="29"/>
      <c r="AC105" s="30"/>
    </row>
    <row r="106" spans="1:29" ht="15" thickBot="1" x14ac:dyDescent="0.3">
      <c r="A106" s="73" t="s">
        <v>29</v>
      </c>
      <c r="B106" s="52" t="s">
        <v>34</v>
      </c>
      <c r="C106" s="52" t="s">
        <v>372</v>
      </c>
      <c r="D106" s="52" t="s">
        <v>373</v>
      </c>
      <c r="E106" s="51">
        <v>45862.875694444447</v>
      </c>
      <c r="F106" s="29" t="s">
        <v>528</v>
      </c>
      <c r="G106" s="52" t="s">
        <v>374</v>
      </c>
      <c r="H106" s="52" t="s">
        <v>375</v>
      </c>
      <c r="I106" s="52" t="s">
        <v>376</v>
      </c>
      <c r="J106" s="52" t="s">
        <v>377</v>
      </c>
      <c r="K106" s="31" t="s">
        <v>898</v>
      </c>
      <c r="L106" s="37" t="s">
        <v>438</v>
      </c>
      <c r="M106" s="37" t="s">
        <v>952</v>
      </c>
      <c r="N106" s="52" t="s">
        <v>378</v>
      </c>
      <c r="O106" s="52">
        <v>187</v>
      </c>
      <c r="P106" s="52">
        <v>144</v>
      </c>
      <c r="Q106" s="52">
        <v>2549</v>
      </c>
      <c r="R106" s="52">
        <v>7.35</v>
      </c>
      <c r="S106" s="52">
        <v>1962.35</v>
      </c>
      <c r="T106" s="44" t="s">
        <v>31</v>
      </c>
      <c r="U106" s="44" t="s">
        <v>32</v>
      </c>
      <c r="V106" s="29" t="s">
        <v>640</v>
      </c>
      <c r="W106" s="38" t="s">
        <v>233</v>
      </c>
      <c r="X106" s="52"/>
      <c r="Y106" s="52"/>
      <c r="Z106" s="32" t="s">
        <v>603</v>
      </c>
      <c r="AA106" s="33">
        <v>45864</v>
      </c>
      <c r="AB106" s="32" t="s">
        <v>573</v>
      </c>
      <c r="AC106" s="30"/>
    </row>
    <row r="107" spans="1:29" ht="15" thickBot="1" x14ac:dyDescent="0.3">
      <c r="A107" s="73" t="s">
        <v>29</v>
      </c>
      <c r="B107" s="52" t="s">
        <v>34</v>
      </c>
      <c r="C107" s="52" t="s">
        <v>372</v>
      </c>
      <c r="D107" s="52" t="s">
        <v>373</v>
      </c>
      <c r="E107" s="51">
        <v>45862.875694444447</v>
      </c>
      <c r="F107" s="29" t="s">
        <v>528</v>
      </c>
      <c r="G107" s="52" t="s">
        <v>379</v>
      </c>
      <c r="H107" s="52" t="s">
        <v>380</v>
      </c>
      <c r="I107" s="52" t="s">
        <v>381</v>
      </c>
      <c r="J107" s="52" t="s">
        <v>377</v>
      </c>
      <c r="K107" s="31" t="s">
        <v>898</v>
      </c>
      <c r="L107" s="37" t="s">
        <v>221</v>
      </c>
      <c r="M107" s="37" t="s">
        <v>953</v>
      </c>
      <c r="N107" s="52" t="s">
        <v>378</v>
      </c>
      <c r="O107" s="52">
        <v>187</v>
      </c>
      <c r="P107" s="52">
        <v>43</v>
      </c>
      <c r="Q107" s="52">
        <v>800</v>
      </c>
      <c r="R107" s="52">
        <v>2.2000000000000002</v>
      </c>
      <c r="S107" s="52">
        <v>581.97</v>
      </c>
      <c r="T107" s="44" t="s">
        <v>31</v>
      </c>
      <c r="U107" s="44" t="s">
        <v>32</v>
      </c>
      <c r="V107" s="29" t="s">
        <v>640</v>
      </c>
      <c r="W107" s="38" t="s">
        <v>233</v>
      </c>
      <c r="X107" s="52"/>
      <c r="Y107" s="52"/>
      <c r="Z107" s="52"/>
      <c r="AA107" s="29"/>
      <c r="AB107" s="29"/>
      <c r="AC107" s="30"/>
    </row>
    <row r="108" spans="1:29" ht="15" thickBot="1" x14ac:dyDescent="0.3">
      <c r="A108" s="73"/>
      <c r="B108" s="52"/>
      <c r="C108" s="52"/>
      <c r="D108" s="52"/>
      <c r="E108" s="51"/>
      <c r="F108" s="29"/>
      <c r="G108" s="52"/>
      <c r="H108" s="52"/>
      <c r="I108" s="52"/>
      <c r="J108" s="52"/>
      <c r="K108" s="31">
        <v>0</v>
      </c>
      <c r="L108" s="37"/>
      <c r="M108" s="37"/>
      <c r="N108" s="52"/>
      <c r="O108" s="52"/>
      <c r="P108" s="52"/>
      <c r="Q108" s="52"/>
      <c r="R108" s="52"/>
      <c r="S108" s="52"/>
      <c r="T108" s="44"/>
      <c r="U108" s="52"/>
      <c r="V108" s="52"/>
      <c r="W108" s="38"/>
      <c r="X108" s="52"/>
      <c r="Y108" s="52"/>
      <c r="Z108" s="52"/>
      <c r="AA108" s="29"/>
      <c r="AB108" s="29"/>
      <c r="AC108" s="30"/>
    </row>
    <row r="109" spans="1:29" ht="15" thickBot="1" x14ac:dyDescent="0.3">
      <c r="A109" s="73" t="s">
        <v>29</v>
      </c>
      <c r="B109" s="52" t="s">
        <v>38</v>
      </c>
      <c r="C109" s="52" t="s">
        <v>416</v>
      </c>
      <c r="D109" s="52" t="s">
        <v>417</v>
      </c>
      <c r="E109" s="51">
        <v>45862.867361111115</v>
      </c>
      <c r="F109" s="29" t="s">
        <v>529</v>
      </c>
      <c r="G109" s="52" t="s">
        <v>418</v>
      </c>
      <c r="H109" s="52" t="s">
        <v>419</v>
      </c>
      <c r="I109" s="52" t="s">
        <v>420</v>
      </c>
      <c r="J109" s="52" t="s">
        <v>421</v>
      </c>
      <c r="K109" s="31" t="s">
        <v>899</v>
      </c>
      <c r="L109" s="37" t="s">
        <v>45</v>
      </c>
      <c r="M109" s="37" t="s">
        <v>965</v>
      </c>
      <c r="N109" s="52" t="s">
        <v>135</v>
      </c>
      <c r="O109" s="52">
        <v>79</v>
      </c>
      <c r="P109" s="52">
        <v>29</v>
      </c>
      <c r="Q109" s="52">
        <v>1550</v>
      </c>
      <c r="R109" s="52">
        <v>1.55</v>
      </c>
      <c r="S109" s="52">
        <v>331.8</v>
      </c>
      <c r="T109" s="44" t="s">
        <v>31</v>
      </c>
      <c r="U109" s="44" t="s">
        <v>32</v>
      </c>
      <c r="V109" s="29" t="s">
        <v>640</v>
      </c>
      <c r="W109" s="38" t="s">
        <v>233</v>
      </c>
      <c r="X109" s="52"/>
      <c r="Y109" s="52"/>
      <c r="Z109" s="32" t="s">
        <v>604</v>
      </c>
      <c r="AA109" s="33">
        <v>45865</v>
      </c>
      <c r="AB109" s="32" t="s">
        <v>573</v>
      </c>
      <c r="AC109" s="30"/>
    </row>
    <row r="110" spans="1:29" ht="15" thickBot="1" x14ac:dyDescent="0.3">
      <c r="A110" s="73" t="s">
        <v>29</v>
      </c>
      <c r="B110" s="52" t="s">
        <v>38</v>
      </c>
      <c r="C110" s="52" t="s">
        <v>416</v>
      </c>
      <c r="D110" s="52" t="s">
        <v>417</v>
      </c>
      <c r="E110" s="51">
        <v>45862.867361111115</v>
      </c>
      <c r="F110" s="29" t="s">
        <v>529</v>
      </c>
      <c r="G110" s="52" t="s">
        <v>422</v>
      </c>
      <c r="H110" s="52" t="s">
        <v>423</v>
      </c>
      <c r="I110" s="52" t="s">
        <v>424</v>
      </c>
      <c r="J110" s="52" t="s">
        <v>421</v>
      </c>
      <c r="K110" s="31" t="s">
        <v>899</v>
      </c>
      <c r="L110" s="37" t="s">
        <v>303</v>
      </c>
      <c r="M110" s="37" t="s">
        <v>966</v>
      </c>
      <c r="N110" s="52" t="s">
        <v>371</v>
      </c>
      <c r="O110" s="52">
        <v>79</v>
      </c>
      <c r="P110" s="52">
        <v>25</v>
      </c>
      <c r="Q110" s="52">
        <v>1242</v>
      </c>
      <c r="R110" s="52">
        <v>1.63</v>
      </c>
      <c r="S110" s="52">
        <v>266.39999999999998</v>
      </c>
      <c r="T110" s="44" t="s">
        <v>31</v>
      </c>
      <c r="U110" s="44" t="s">
        <v>32</v>
      </c>
      <c r="V110" s="29" t="s">
        <v>640</v>
      </c>
      <c r="W110" s="38" t="s">
        <v>233</v>
      </c>
      <c r="X110" s="52"/>
      <c r="Y110" s="52"/>
      <c r="Z110" s="52"/>
      <c r="AA110" s="29"/>
      <c r="AB110" s="29"/>
      <c r="AC110" s="30"/>
    </row>
    <row r="111" spans="1:29" ht="14.4" x14ac:dyDescent="0.25">
      <c r="A111" s="73" t="s">
        <v>29</v>
      </c>
      <c r="B111" s="52" t="s">
        <v>38</v>
      </c>
      <c r="C111" s="52" t="s">
        <v>416</v>
      </c>
      <c r="D111" s="52" t="s">
        <v>417</v>
      </c>
      <c r="E111" s="51">
        <v>45862.867361111115</v>
      </c>
      <c r="F111" s="29" t="s">
        <v>529</v>
      </c>
      <c r="G111" s="52" t="s">
        <v>425</v>
      </c>
      <c r="H111" s="52" t="s">
        <v>426</v>
      </c>
      <c r="I111" s="52" t="s">
        <v>427</v>
      </c>
      <c r="J111" s="52" t="s">
        <v>421</v>
      </c>
      <c r="K111" s="31" t="s">
        <v>899</v>
      </c>
      <c r="L111" s="37" t="s">
        <v>303</v>
      </c>
      <c r="M111" s="37" t="s">
        <v>955</v>
      </c>
      <c r="N111" s="52" t="s">
        <v>371</v>
      </c>
      <c r="O111" s="52">
        <v>79</v>
      </c>
      <c r="P111" s="52">
        <v>25</v>
      </c>
      <c r="Q111" s="52">
        <v>1259</v>
      </c>
      <c r="R111" s="52">
        <v>1.63</v>
      </c>
      <c r="S111" s="52">
        <v>266.5</v>
      </c>
      <c r="T111" s="44" t="s">
        <v>31</v>
      </c>
      <c r="U111" s="44" t="s">
        <v>32</v>
      </c>
      <c r="V111" s="29" t="s">
        <v>640</v>
      </c>
      <c r="W111" s="38" t="s">
        <v>233</v>
      </c>
      <c r="X111" s="52"/>
      <c r="Y111" s="52"/>
      <c r="Z111" s="52"/>
      <c r="AA111" s="29"/>
      <c r="AB111" s="29"/>
      <c r="AC111" s="30"/>
    </row>
    <row r="112" spans="1:29" ht="13.8" thickBot="1" x14ac:dyDescent="0.3">
      <c r="A112" s="74"/>
      <c r="B112" s="75"/>
      <c r="C112" s="75"/>
      <c r="D112" s="75"/>
      <c r="E112" s="56"/>
      <c r="F112" s="57"/>
      <c r="G112" s="75"/>
      <c r="H112" s="75"/>
      <c r="I112" s="75"/>
      <c r="J112" s="75"/>
      <c r="K112" s="75"/>
      <c r="L112" s="58"/>
      <c r="M112" s="58"/>
      <c r="N112" s="75"/>
      <c r="O112" s="59" t="s">
        <v>644</v>
      </c>
      <c r="P112" s="59">
        <f>SUM(P88:P111)</f>
        <v>922</v>
      </c>
      <c r="Q112" s="59">
        <f>SUM(Q88:Q111)</f>
        <v>18764</v>
      </c>
      <c r="R112" s="59">
        <f>SUM(R88:R111)</f>
        <v>64.62</v>
      </c>
      <c r="S112" s="59">
        <f>SUM(S88:S111)</f>
        <v>11029.609999999999</v>
      </c>
      <c r="T112" s="59" t="s">
        <v>645</v>
      </c>
      <c r="U112" s="75"/>
      <c r="V112" s="75"/>
      <c r="W112" s="75"/>
      <c r="X112" s="75"/>
      <c r="Y112" s="75"/>
      <c r="Z112" s="75"/>
      <c r="AA112" s="57"/>
      <c r="AB112" s="57"/>
      <c r="AC112" s="60"/>
    </row>
    <row r="116" spans="1:29" ht="13.8" thickBot="1" x14ac:dyDescent="0.3"/>
    <row r="117" spans="1:29" ht="13.8" thickBot="1" x14ac:dyDescent="0.3">
      <c r="A117" s="6" t="s">
        <v>680</v>
      </c>
    </row>
    <row r="118" spans="1:29" ht="13.8" thickBot="1" x14ac:dyDescent="0.3">
      <c r="A118" s="7" t="s">
        <v>2</v>
      </c>
      <c r="B118" s="8" t="s">
        <v>3</v>
      </c>
      <c r="C118" s="8" t="s">
        <v>4</v>
      </c>
      <c r="D118" s="8" t="s">
        <v>5</v>
      </c>
      <c r="E118" s="8" t="s">
        <v>6</v>
      </c>
      <c r="F118" s="8" t="s">
        <v>7</v>
      </c>
      <c r="G118" s="8" t="s">
        <v>8</v>
      </c>
      <c r="H118" s="8" t="s">
        <v>9</v>
      </c>
      <c r="I118" s="8" t="s">
        <v>10</v>
      </c>
      <c r="J118" s="8" t="s">
        <v>11</v>
      </c>
      <c r="K118" s="8" t="s">
        <v>860</v>
      </c>
      <c r="L118" s="8" t="s">
        <v>12</v>
      </c>
      <c r="M118" s="8" t="s">
        <v>950</v>
      </c>
      <c r="N118" s="8" t="s">
        <v>13</v>
      </c>
      <c r="O118" s="8" t="s">
        <v>14</v>
      </c>
      <c r="P118" s="8" t="s">
        <v>15</v>
      </c>
      <c r="Q118" s="8" t="s">
        <v>16</v>
      </c>
      <c r="R118" s="8" t="s">
        <v>17</v>
      </c>
      <c r="S118" s="8" t="s">
        <v>18</v>
      </c>
      <c r="T118" s="8" t="s">
        <v>19</v>
      </c>
      <c r="U118" s="8" t="s">
        <v>20</v>
      </c>
      <c r="V118" s="8" t="s">
        <v>21</v>
      </c>
      <c r="W118" s="9" t="s">
        <v>22</v>
      </c>
      <c r="X118" s="10" t="s">
        <v>23</v>
      </c>
      <c r="Y118" s="11" t="s">
        <v>24</v>
      </c>
      <c r="Z118" s="12" t="s">
        <v>25</v>
      </c>
      <c r="AA118" s="8" t="s">
        <v>26</v>
      </c>
      <c r="AB118" s="8" t="s">
        <v>27</v>
      </c>
      <c r="AC118" s="13" t="s">
        <v>28</v>
      </c>
    </row>
    <row r="119" spans="1:29" ht="15" thickBot="1" x14ac:dyDescent="0.3">
      <c r="A119" s="76" t="s">
        <v>29</v>
      </c>
      <c r="B119" s="77" t="s">
        <v>38</v>
      </c>
      <c r="C119" s="77" t="s">
        <v>428</v>
      </c>
      <c r="D119" s="77" t="s">
        <v>429</v>
      </c>
      <c r="E119" s="78">
        <v>45862.865972222222</v>
      </c>
      <c r="F119" s="19" t="s">
        <v>529</v>
      </c>
      <c r="G119" s="77" t="s">
        <v>430</v>
      </c>
      <c r="H119" s="77" t="s">
        <v>431</v>
      </c>
      <c r="I119" s="77" t="s">
        <v>432</v>
      </c>
      <c r="J119" s="77" t="s">
        <v>433</v>
      </c>
      <c r="K119" s="31" t="s">
        <v>900</v>
      </c>
      <c r="L119" s="61" t="s">
        <v>444</v>
      </c>
      <c r="M119" s="61" t="s">
        <v>954</v>
      </c>
      <c r="N119" s="77" t="s">
        <v>371</v>
      </c>
      <c r="O119" s="77">
        <v>91</v>
      </c>
      <c r="P119" s="77">
        <v>9</v>
      </c>
      <c r="Q119" s="77">
        <v>287</v>
      </c>
      <c r="R119" s="77">
        <v>0.59</v>
      </c>
      <c r="S119" s="77">
        <v>128.69999999999999</v>
      </c>
      <c r="T119" s="70" t="s">
        <v>31</v>
      </c>
      <c r="U119" s="70" t="s">
        <v>32</v>
      </c>
      <c r="V119" s="19" t="s">
        <v>640</v>
      </c>
      <c r="W119" s="62" t="s">
        <v>233</v>
      </c>
      <c r="X119" s="20" t="s">
        <v>852</v>
      </c>
      <c r="Y119" s="20" t="s">
        <v>853</v>
      </c>
      <c r="Z119" s="21" t="s">
        <v>605</v>
      </c>
      <c r="AA119" s="22">
        <v>45865</v>
      </c>
      <c r="AB119" s="21" t="s">
        <v>573</v>
      </c>
      <c r="AC119" s="23"/>
    </row>
    <row r="120" spans="1:29" ht="15" thickBot="1" x14ac:dyDescent="0.3">
      <c r="A120" s="73" t="s">
        <v>29</v>
      </c>
      <c r="B120" s="52" t="s">
        <v>38</v>
      </c>
      <c r="C120" s="52" t="s">
        <v>428</v>
      </c>
      <c r="D120" s="52" t="s">
        <v>429</v>
      </c>
      <c r="E120" s="51">
        <v>45862.865972222222</v>
      </c>
      <c r="F120" s="29" t="s">
        <v>529</v>
      </c>
      <c r="G120" s="52" t="s">
        <v>430</v>
      </c>
      <c r="H120" s="52" t="s">
        <v>434</v>
      </c>
      <c r="I120" s="52" t="s">
        <v>435</v>
      </c>
      <c r="J120" s="52" t="s">
        <v>433</v>
      </c>
      <c r="K120" s="31" t="s">
        <v>900</v>
      </c>
      <c r="L120" s="37" t="s">
        <v>443</v>
      </c>
      <c r="M120" s="37" t="s">
        <v>957</v>
      </c>
      <c r="N120" s="52" t="s">
        <v>371</v>
      </c>
      <c r="O120" s="52">
        <v>91</v>
      </c>
      <c r="P120" s="52">
        <v>82</v>
      </c>
      <c r="Q120" s="52">
        <v>2169</v>
      </c>
      <c r="R120" s="52">
        <v>5.36</v>
      </c>
      <c r="S120" s="52">
        <v>1159.4100000000001</v>
      </c>
      <c r="T120" s="44" t="s">
        <v>31</v>
      </c>
      <c r="U120" s="44" t="s">
        <v>32</v>
      </c>
      <c r="V120" s="29" t="s">
        <v>640</v>
      </c>
      <c r="W120" s="38" t="s">
        <v>233</v>
      </c>
      <c r="X120" s="52"/>
      <c r="Y120" s="52"/>
      <c r="Z120" s="52"/>
      <c r="AA120" s="29"/>
      <c r="AB120" s="29"/>
      <c r="AC120" s="30"/>
    </row>
    <row r="121" spans="1:29" ht="13.8" thickBot="1" x14ac:dyDescent="0.3">
      <c r="A121" s="73"/>
      <c r="B121" s="52"/>
      <c r="C121" s="52"/>
      <c r="D121" s="52"/>
      <c r="E121" s="51"/>
      <c r="F121" s="29"/>
      <c r="G121" s="52"/>
      <c r="H121" s="52"/>
      <c r="I121" s="52"/>
      <c r="J121" s="52"/>
      <c r="K121" s="31">
        <v>0</v>
      </c>
      <c r="L121" s="37"/>
      <c r="M121" s="37"/>
      <c r="N121" s="52"/>
      <c r="O121" s="52"/>
      <c r="P121" s="52"/>
      <c r="Q121" s="52"/>
      <c r="R121" s="52"/>
      <c r="S121" s="52"/>
      <c r="T121" s="44"/>
      <c r="U121" s="52"/>
      <c r="V121" s="52"/>
      <c r="W121" s="52"/>
      <c r="X121" s="52"/>
      <c r="Y121" s="52"/>
      <c r="Z121" s="52"/>
      <c r="AA121" s="29"/>
      <c r="AB121" s="29"/>
      <c r="AC121" s="30"/>
    </row>
    <row r="122" spans="1:29" ht="15" thickBot="1" x14ac:dyDescent="0.3">
      <c r="A122" s="49" t="s">
        <v>29</v>
      </c>
      <c r="B122" s="50" t="s">
        <v>37</v>
      </c>
      <c r="C122" s="50" t="s">
        <v>457</v>
      </c>
      <c r="D122" s="50" t="s">
        <v>458</v>
      </c>
      <c r="E122" s="51">
        <v>45862.865972222222</v>
      </c>
      <c r="F122" s="29" t="s">
        <v>528</v>
      </c>
      <c r="G122" s="50" t="s">
        <v>459</v>
      </c>
      <c r="H122" s="50" t="s">
        <v>460</v>
      </c>
      <c r="I122" s="50" t="s">
        <v>461</v>
      </c>
      <c r="J122" s="50" t="s">
        <v>462</v>
      </c>
      <c r="K122" s="31" t="s">
        <v>901</v>
      </c>
      <c r="L122" s="37" t="s">
        <v>476</v>
      </c>
      <c r="M122" s="37" t="s">
        <v>958</v>
      </c>
      <c r="N122" s="50" t="s">
        <v>118</v>
      </c>
      <c r="O122" s="50">
        <v>12</v>
      </c>
      <c r="P122" s="50">
        <v>12</v>
      </c>
      <c r="Q122" s="50">
        <v>168</v>
      </c>
      <c r="R122" s="50">
        <v>0.65</v>
      </c>
      <c r="S122" s="50">
        <v>121.3</v>
      </c>
      <c r="T122" s="44" t="s">
        <v>31</v>
      </c>
      <c r="U122" s="50" t="s">
        <v>32</v>
      </c>
      <c r="V122" s="29" t="s">
        <v>640</v>
      </c>
      <c r="W122" s="38" t="s">
        <v>233</v>
      </c>
      <c r="X122" s="50"/>
      <c r="Y122" s="50"/>
      <c r="Z122" s="32" t="s">
        <v>606</v>
      </c>
      <c r="AA122" s="33">
        <v>45864</v>
      </c>
      <c r="AB122" s="32" t="s">
        <v>573</v>
      </c>
      <c r="AC122" s="30"/>
    </row>
    <row r="123" spans="1:29" ht="13.8" thickBot="1" x14ac:dyDescent="0.3">
      <c r="A123" s="49"/>
      <c r="B123" s="50"/>
      <c r="C123" s="50"/>
      <c r="D123" s="50"/>
      <c r="E123" s="51"/>
      <c r="F123" s="29"/>
      <c r="G123" s="50"/>
      <c r="H123" s="50"/>
      <c r="I123" s="50"/>
      <c r="J123" s="50"/>
      <c r="K123" s="31">
        <v>0</v>
      </c>
      <c r="L123" s="37"/>
      <c r="M123" s="37"/>
      <c r="N123" s="50"/>
      <c r="O123" s="50"/>
      <c r="P123" s="50"/>
      <c r="Q123" s="50"/>
      <c r="R123" s="50"/>
      <c r="S123" s="50"/>
      <c r="T123" s="44"/>
      <c r="U123" s="50"/>
      <c r="V123" s="50"/>
      <c r="W123" s="50"/>
      <c r="X123" s="50"/>
      <c r="Y123" s="50"/>
      <c r="Z123" s="50"/>
      <c r="AA123" s="29"/>
      <c r="AB123" s="29"/>
      <c r="AC123" s="30"/>
    </row>
    <row r="124" spans="1:29" ht="15" thickBot="1" x14ac:dyDescent="0.3">
      <c r="A124" s="49" t="s">
        <v>29</v>
      </c>
      <c r="B124" s="50" t="s">
        <v>37</v>
      </c>
      <c r="C124" s="50" t="s">
        <v>469</v>
      </c>
      <c r="D124" s="50" t="s">
        <v>470</v>
      </c>
      <c r="E124" s="51">
        <v>45862.865972222222</v>
      </c>
      <c r="F124" s="29" t="s">
        <v>528</v>
      </c>
      <c r="G124" s="50" t="s">
        <v>471</v>
      </c>
      <c r="H124" s="50" t="s">
        <v>472</v>
      </c>
      <c r="I124" s="50" t="s">
        <v>473</v>
      </c>
      <c r="J124" s="50" t="s">
        <v>474</v>
      </c>
      <c r="K124" s="31" t="s">
        <v>902</v>
      </c>
      <c r="L124" s="37" t="s">
        <v>300</v>
      </c>
      <c r="M124" s="37" t="s">
        <v>959</v>
      </c>
      <c r="N124" s="50" t="s">
        <v>118</v>
      </c>
      <c r="O124" s="50">
        <v>39</v>
      </c>
      <c r="P124" s="50">
        <v>39</v>
      </c>
      <c r="Q124" s="50">
        <v>732</v>
      </c>
      <c r="R124" s="50">
        <v>2.12</v>
      </c>
      <c r="S124" s="50">
        <v>498.08</v>
      </c>
      <c r="T124" s="44" t="s">
        <v>31</v>
      </c>
      <c r="U124" s="50" t="s">
        <v>32</v>
      </c>
      <c r="V124" s="29" t="s">
        <v>640</v>
      </c>
      <c r="W124" s="38" t="s">
        <v>233</v>
      </c>
      <c r="X124" s="50"/>
      <c r="Y124" s="50"/>
      <c r="Z124" s="32" t="s">
        <v>608</v>
      </c>
      <c r="AA124" s="33">
        <v>45864</v>
      </c>
      <c r="AB124" s="32" t="s">
        <v>573</v>
      </c>
      <c r="AC124" s="30"/>
    </row>
    <row r="125" spans="1:29" ht="13.8" thickBot="1" x14ac:dyDescent="0.3">
      <c r="A125" s="73"/>
      <c r="B125" s="52"/>
      <c r="C125" s="52"/>
      <c r="D125" s="52"/>
      <c r="E125" s="51"/>
      <c r="F125" s="29"/>
      <c r="G125" s="52"/>
      <c r="H125" s="52"/>
      <c r="I125" s="52"/>
      <c r="J125" s="52"/>
      <c r="K125" s="31">
        <v>0</v>
      </c>
      <c r="L125" s="37"/>
      <c r="M125" s="37"/>
      <c r="N125" s="52"/>
      <c r="O125" s="52"/>
      <c r="P125" s="52"/>
      <c r="Q125" s="52"/>
      <c r="R125" s="52"/>
      <c r="S125" s="52"/>
      <c r="T125" s="44"/>
      <c r="U125" s="52"/>
      <c r="V125" s="52"/>
      <c r="W125" s="52"/>
      <c r="X125" s="52"/>
      <c r="Y125" s="52"/>
      <c r="Z125" s="52"/>
      <c r="AA125" s="29"/>
      <c r="AB125" s="29"/>
      <c r="AC125" s="30"/>
    </row>
    <row r="126" spans="1:29" ht="15" thickBot="1" x14ac:dyDescent="0.35">
      <c r="A126" s="43" t="s">
        <v>29</v>
      </c>
      <c r="B126" s="44" t="s">
        <v>39</v>
      </c>
      <c r="C126" s="44" t="s">
        <v>333</v>
      </c>
      <c r="D126" s="44" t="s">
        <v>334</v>
      </c>
      <c r="E126" s="45">
        <v>45862.663194444445</v>
      </c>
      <c r="F126" s="63" t="s">
        <v>641</v>
      </c>
      <c r="G126" s="44" t="s">
        <v>330</v>
      </c>
      <c r="H126" s="44" t="s">
        <v>335</v>
      </c>
      <c r="I126" s="44" t="s">
        <v>336</v>
      </c>
      <c r="J126" s="44" t="s">
        <v>337</v>
      </c>
      <c r="K126" s="31" t="s">
        <v>903</v>
      </c>
      <c r="L126" s="44" t="s">
        <v>338</v>
      </c>
      <c r="M126" s="44">
        <v>5</v>
      </c>
      <c r="N126" s="44" t="s">
        <v>265</v>
      </c>
      <c r="O126" s="44">
        <v>154</v>
      </c>
      <c r="P126" s="44">
        <v>48</v>
      </c>
      <c r="Q126" s="44">
        <v>500</v>
      </c>
      <c r="R126" s="44">
        <v>4.18</v>
      </c>
      <c r="S126" s="44">
        <v>400.2</v>
      </c>
      <c r="T126" s="44" t="s">
        <v>31</v>
      </c>
      <c r="U126" s="44" t="s">
        <v>32</v>
      </c>
      <c r="V126" s="29" t="s">
        <v>640</v>
      </c>
      <c r="W126" s="53" t="s">
        <v>234</v>
      </c>
      <c r="X126" s="29"/>
      <c r="Y126" s="29"/>
      <c r="Z126" s="32" t="s">
        <v>684</v>
      </c>
      <c r="AA126" s="33">
        <v>45867</v>
      </c>
      <c r="AB126" s="32" t="s">
        <v>573</v>
      </c>
      <c r="AC126" s="30"/>
    </row>
    <row r="127" spans="1:29" ht="15" thickBot="1" x14ac:dyDescent="0.35">
      <c r="A127" s="43" t="s">
        <v>29</v>
      </c>
      <c r="B127" s="44" t="s">
        <v>39</v>
      </c>
      <c r="C127" s="44" t="s">
        <v>333</v>
      </c>
      <c r="D127" s="44" t="s">
        <v>334</v>
      </c>
      <c r="E127" s="45">
        <v>45862.663194444445</v>
      </c>
      <c r="F127" s="63" t="s">
        <v>641</v>
      </c>
      <c r="G127" s="44" t="s">
        <v>339</v>
      </c>
      <c r="H127" s="44" t="s">
        <v>340</v>
      </c>
      <c r="I127" s="44" t="s">
        <v>341</v>
      </c>
      <c r="J127" s="44" t="s">
        <v>337</v>
      </c>
      <c r="K127" s="31" t="s">
        <v>903</v>
      </c>
      <c r="L127" s="44" t="s">
        <v>254</v>
      </c>
      <c r="M127" s="44">
        <v>6</v>
      </c>
      <c r="N127" s="44" t="s">
        <v>265</v>
      </c>
      <c r="O127" s="44">
        <v>154</v>
      </c>
      <c r="P127" s="44">
        <v>30</v>
      </c>
      <c r="Q127" s="44">
        <v>487</v>
      </c>
      <c r="R127" s="44">
        <v>2.61</v>
      </c>
      <c r="S127" s="44">
        <v>251.8</v>
      </c>
      <c r="T127" s="44" t="s">
        <v>31</v>
      </c>
      <c r="U127" s="44" t="s">
        <v>32</v>
      </c>
      <c r="V127" s="29" t="s">
        <v>640</v>
      </c>
      <c r="W127" s="53" t="s">
        <v>234</v>
      </c>
      <c r="X127" s="29"/>
      <c r="Y127" s="29"/>
      <c r="Z127" s="29"/>
      <c r="AA127" s="29"/>
      <c r="AB127" s="29"/>
      <c r="AC127" s="30"/>
    </row>
    <row r="128" spans="1:29" ht="15" thickBot="1" x14ac:dyDescent="0.3">
      <c r="A128" s="43" t="s">
        <v>29</v>
      </c>
      <c r="B128" s="44" t="s">
        <v>39</v>
      </c>
      <c r="C128" s="44" t="s">
        <v>333</v>
      </c>
      <c r="D128" s="44" t="s">
        <v>334</v>
      </c>
      <c r="E128" s="45">
        <v>45862.663194444445</v>
      </c>
      <c r="F128" s="63" t="s">
        <v>641</v>
      </c>
      <c r="G128" s="44" t="s">
        <v>342</v>
      </c>
      <c r="H128" s="44" t="s">
        <v>343</v>
      </c>
      <c r="I128" s="44" t="s">
        <v>325</v>
      </c>
      <c r="J128" s="44" t="s">
        <v>337</v>
      </c>
      <c r="K128" s="31" t="s">
        <v>903</v>
      </c>
      <c r="L128" s="44" t="s">
        <v>344</v>
      </c>
      <c r="M128" s="44">
        <v>7</v>
      </c>
      <c r="N128" s="44" t="s">
        <v>265</v>
      </c>
      <c r="O128" s="44">
        <v>154</v>
      </c>
      <c r="P128" s="44">
        <v>76</v>
      </c>
      <c r="Q128" s="44">
        <v>1300</v>
      </c>
      <c r="R128" s="44">
        <v>6.62</v>
      </c>
      <c r="S128" s="44">
        <v>659.85</v>
      </c>
      <c r="T128" s="44" t="s">
        <v>31</v>
      </c>
      <c r="U128" s="44" t="s">
        <v>32</v>
      </c>
      <c r="V128" s="29" t="s">
        <v>640</v>
      </c>
      <c r="W128" s="38" t="s">
        <v>233</v>
      </c>
      <c r="X128" s="29"/>
      <c r="Y128" s="29"/>
      <c r="Z128" s="29"/>
      <c r="AA128" s="29"/>
      <c r="AB128" s="29"/>
      <c r="AC128" s="30"/>
    </row>
    <row r="129" spans="1:29" ht="13.8" thickBot="1" x14ac:dyDescent="0.3">
      <c r="A129" s="73"/>
      <c r="B129" s="52"/>
      <c r="C129" s="52"/>
      <c r="D129" s="52"/>
      <c r="E129" s="51"/>
      <c r="F129" s="29"/>
      <c r="G129" s="52"/>
      <c r="H129" s="52"/>
      <c r="I129" s="52"/>
      <c r="J129" s="52"/>
      <c r="K129" s="31">
        <v>0</v>
      </c>
      <c r="L129" s="37"/>
      <c r="M129" s="37"/>
      <c r="N129" s="52"/>
      <c r="O129" s="52"/>
      <c r="P129" s="52"/>
      <c r="Q129" s="52"/>
      <c r="R129" s="52"/>
      <c r="S129" s="52"/>
      <c r="T129" s="44"/>
      <c r="U129" s="52"/>
      <c r="V129" s="52"/>
      <c r="W129" s="52"/>
      <c r="X129" s="52"/>
      <c r="Y129" s="52"/>
      <c r="Z129" s="52"/>
      <c r="AA129" s="29"/>
      <c r="AB129" s="29"/>
      <c r="AC129" s="30"/>
    </row>
    <row r="130" spans="1:29" ht="13.8" thickBot="1" x14ac:dyDescent="0.3">
      <c r="A130" s="43" t="s">
        <v>29</v>
      </c>
      <c r="B130" s="44" t="s">
        <v>304</v>
      </c>
      <c r="C130" s="44" t="s">
        <v>305</v>
      </c>
      <c r="D130" s="44" t="s">
        <v>306</v>
      </c>
      <c r="E130" s="45">
        <v>45862.674305555556</v>
      </c>
      <c r="F130" s="63" t="s">
        <v>641</v>
      </c>
      <c r="G130" s="44" t="s">
        <v>307</v>
      </c>
      <c r="H130" s="44" t="s">
        <v>308</v>
      </c>
      <c r="I130" s="44" t="s">
        <v>309</v>
      </c>
      <c r="J130" s="44" t="s">
        <v>310</v>
      </c>
      <c r="K130" s="31" t="s">
        <v>904</v>
      </c>
      <c r="L130" s="44" t="s">
        <v>311</v>
      </c>
      <c r="M130" s="44">
        <v>8</v>
      </c>
      <c r="N130" s="44" t="s">
        <v>312</v>
      </c>
      <c r="O130" s="44">
        <v>444</v>
      </c>
      <c r="P130" s="44">
        <v>210</v>
      </c>
      <c r="Q130" s="44">
        <v>5000</v>
      </c>
      <c r="R130" s="44">
        <v>11.04</v>
      </c>
      <c r="S130" s="44">
        <v>2667.75</v>
      </c>
      <c r="T130" s="44" t="s">
        <v>31</v>
      </c>
      <c r="U130" s="44" t="s">
        <v>32</v>
      </c>
      <c r="V130" s="29" t="s">
        <v>640</v>
      </c>
      <c r="W130" s="29" t="s">
        <v>258</v>
      </c>
      <c r="X130" s="29"/>
      <c r="Y130" s="29"/>
      <c r="Z130" s="32" t="s">
        <v>685</v>
      </c>
      <c r="AA130" s="33">
        <v>45867</v>
      </c>
      <c r="AB130" s="32" t="s">
        <v>573</v>
      </c>
      <c r="AC130" s="30"/>
    </row>
    <row r="131" spans="1:29" ht="13.8" thickBot="1" x14ac:dyDescent="0.3">
      <c r="A131" s="43" t="s">
        <v>29</v>
      </c>
      <c r="B131" s="44" t="s">
        <v>304</v>
      </c>
      <c r="C131" s="44" t="s">
        <v>305</v>
      </c>
      <c r="D131" s="44" t="s">
        <v>306</v>
      </c>
      <c r="E131" s="45">
        <v>45862.674305555556</v>
      </c>
      <c r="F131" s="63" t="s">
        <v>641</v>
      </c>
      <c r="G131" s="44" t="s">
        <v>307</v>
      </c>
      <c r="H131" s="44" t="s">
        <v>313</v>
      </c>
      <c r="I131" s="44" t="s">
        <v>309</v>
      </c>
      <c r="J131" s="44" t="s">
        <v>314</v>
      </c>
      <c r="K131" s="31" t="s">
        <v>905</v>
      </c>
      <c r="L131" s="44" t="s">
        <v>315</v>
      </c>
      <c r="M131" s="44">
        <v>9</v>
      </c>
      <c r="N131" s="44" t="s">
        <v>312</v>
      </c>
      <c r="O131" s="44">
        <v>444</v>
      </c>
      <c r="P131" s="44">
        <v>65</v>
      </c>
      <c r="Q131" s="44">
        <v>1500</v>
      </c>
      <c r="R131" s="44">
        <v>3.42</v>
      </c>
      <c r="S131" s="44">
        <v>800.78</v>
      </c>
      <c r="T131" s="44" t="s">
        <v>31</v>
      </c>
      <c r="U131" s="44" t="s">
        <v>32</v>
      </c>
      <c r="V131" s="29" t="s">
        <v>640</v>
      </c>
      <c r="W131" s="29" t="s">
        <v>258</v>
      </c>
      <c r="X131" s="29"/>
      <c r="Y131" s="29"/>
      <c r="Z131" s="29"/>
      <c r="AA131" s="29"/>
      <c r="AB131" s="29"/>
      <c r="AC131" s="30"/>
    </row>
    <row r="132" spans="1:29" ht="13.8" thickBot="1" x14ac:dyDescent="0.3">
      <c r="A132" s="43" t="s">
        <v>29</v>
      </c>
      <c r="B132" s="44" t="s">
        <v>304</v>
      </c>
      <c r="C132" s="44" t="s">
        <v>305</v>
      </c>
      <c r="D132" s="44" t="s">
        <v>306</v>
      </c>
      <c r="E132" s="45">
        <v>45862.674305555556</v>
      </c>
      <c r="F132" s="63" t="s">
        <v>641</v>
      </c>
      <c r="G132" s="44" t="s">
        <v>316</v>
      </c>
      <c r="H132" s="44" t="s">
        <v>317</v>
      </c>
      <c r="I132" s="44" t="s">
        <v>318</v>
      </c>
      <c r="J132" s="44" t="s">
        <v>319</v>
      </c>
      <c r="K132" s="31" t="s">
        <v>906</v>
      </c>
      <c r="L132" s="44" t="s">
        <v>320</v>
      </c>
      <c r="M132" s="44">
        <v>10</v>
      </c>
      <c r="N132" s="44" t="s">
        <v>312</v>
      </c>
      <c r="O132" s="44">
        <v>444</v>
      </c>
      <c r="P132" s="44">
        <v>169</v>
      </c>
      <c r="Q132" s="44">
        <v>4000</v>
      </c>
      <c r="R132" s="44">
        <v>8.8800000000000008</v>
      </c>
      <c r="S132" s="44">
        <v>2134.02</v>
      </c>
      <c r="T132" s="44" t="s">
        <v>31</v>
      </c>
      <c r="U132" s="44" t="s">
        <v>32</v>
      </c>
      <c r="V132" s="29" t="s">
        <v>640</v>
      </c>
      <c r="W132" s="29" t="s">
        <v>258</v>
      </c>
      <c r="X132" s="29"/>
      <c r="Y132" s="29"/>
      <c r="Z132" s="29"/>
      <c r="AA132" s="29"/>
      <c r="AB132" s="29"/>
      <c r="AC132" s="30"/>
    </row>
    <row r="133" spans="1:29" ht="13.8" thickBot="1" x14ac:dyDescent="0.3">
      <c r="A133" s="73"/>
      <c r="B133" s="52"/>
      <c r="C133" s="52"/>
      <c r="D133" s="52"/>
      <c r="E133" s="51"/>
      <c r="F133" s="29"/>
      <c r="G133" s="52"/>
      <c r="H133" s="52"/>
      <c r="I133" s="52"/>
      <c r="J133" s="52"/>
      <c r="K133" s="31">
        <v>0</v>
      </c>
      <c r="L133" s="37"/>
      <c r="M133" s="37"/>
      <c r="N133" s="52"/>
      <c r="O133" s="52"/>
      <c r="P133" s="52"/>
      <c r="Q133" s="52"/>
      <c r="R133" s="52"/>
      <c r="S133" s="52"/>
      <c r="T133" s="44"/>
      <c r="U133" s="52"/>
      <c r="V133" s="52"/>
      <c r="W133" s="52"/>
      <c r="X133" s="52"/>
      <c r="Y133" s="52"/>
      <c r="Z133" s="52"/>
      <c r="AA133" s="29"/>
      <c r="AB133" s="29"/>
      <c r="AC133" s="30"/>
    </row>
    <row r="134" spans="1:29" ht="13.8" thickBot="1" x14ac:dyDescent="0.3">
      <c r="A134" s="73" t="s">
        <v>29</v>
      </c>
      <c r="B134" s="52" t="s">
        <v>38</v>
      </c>
      <c r="C134" s="52" t="s">
        <v>382</v>
      </c>
      <c r="D134" s="52" t="s">
        <v>383</v>
      </c>
      <c r="E134" s="51">
        <v>45862.861805555556</v>
      </c>
      <c r="F134" s="29" t="s">
        <v>529</v>
      </c>
      <c r="G134" s="52" t="s">
        <v>384</v>
      </c>
      <c r="H134" s="52" t="s">
        <v>385</v>
      </c>
      <c r="I134" s="52" t="s">
        <v>386</v>
      </c>
      <c r="J134" s="52" t="s">
        <v>387</v>
      </c>
      <c r="K134" s="31" t="s">
        <v>907</v>
      </c>
      <c r="L134" s="37" t="s">
        <v>439</v>
      </c>
      <c r="M134" s="37" t="s">
        <v>952</v>
      </c>
      <c r="N134" s="52" t="s">
        <v>388</v>
      </c>
      <c r="O134" s="52">
        <v>62</v>
      </c>
      <c r="P134" s="52">
        <v>15</v>
      </c>
      <c r="Q134" s="52">
        <v>548</v>
      </c>
      <c r="R134" s="52">
        <v>0.83</v>
      </c>
      <c r="S134" s="52">
        <v>168.3</v>
      </c>
      <c r="T134" s="44" t="s">
        <v>31</v>
      </c>
      <c r="U134" s="44" t="s">
        <v>32</v>
      </c>
      <c r="V134" s="29" t="s">
        <v>640</v>
      </c>
      <c r="W134" s="52" t="s">
        <v>258</v>
      </c>
      <c r="X134" s="52"/>
      <c r="Y134" s="52"/>
      <c r="Z134" s="32" t="s">
        <v>609</v>
      </c>
      <c r="AA134" s="33">
        <v>45865</v>
      </c>
      <c r="AB134" s="32" t="s">
        <v>573</v>
      </c>
      <c r="AC134" s="30"/>
    </row>
    <row r="135" spans="1:29" ht="13.8" thickBot="1" x14ac:dyDescent="0.3">
      <c r="A135" s="73" t="s">
        <v>29</v>
      </c>
      <c r="B135" s="52" t="s">
        <v>38</v>
      </c>
      <c r="C135" s="52" t="s">
        <v>382</v>
      </c>
      <c r="D135" s="52" t="s">
        <v>383</v>
      </c>
      <c r="E135" s="51">
        <v>45862.861805555556</v>
      </c>
      <c r="F135" s="29" t="s">
        <v>529</v>
      </c>
      <c r="G135" s="52" t="s">
        <v>384</v>
      </c>
      <c r="H135" s="52" t="s">
        <v>385</v>
      </c>
      <c r="I135" s="52" t="s">
        <v>386</v>
      </c>
      <c r="J135" s="52" t="s">
        <v>387</v>
      </c>
      <c r="K135" s="31" t="s">
        <v>907</v>
      </c>
      <c r="L135" s="37" t="s">
        <v>440</v>
      </c>
      <c r="M135" s="37" t="s">
        <v>952</v>
      </c>
      <c r="N135" s="52" t="s">
        <v>389</v>
      </c>
      <c r="O135" s="52">
        <v>62</v>
      </c>
      <c r="P135" s="52">
        <v>16</v>
      </c>
      <c r="Q135" s="52">
        <v>626</v>
      </c>
      <c r="R135" s="52">
        <v>1.19</v>
      </c>
      <c r="S135" s="52">
        <v>177.85</v>
      </c>
      <c r="T135" s="44" t="s">
        <v>31</v>
      </c>
      <c r="U135" s="44" t="s">
        <v>32</v>
      </c>
      <c r="V135" s="29" t="s">
        <v>640</v>
      </c>
      <c r="W135" s="52" t="s">
        <v>258</v>
      </c>
      <c r="X135" s="52"/>
      <c r="Y135" s="52"/>
      <c r="Z135" s="52"/>
      <c r="AA135" s="29"/>
      <c r="AB135" s="29"/>
      <c r="AC135" s="30"/>
    </row>
    <row r="136" spans="1:29" ht="13.8" thickBot="1" x14ac:dyDescent="0.3">
      <c r="A136" s="73" t="s">
        <v>29</v>
      </c>
      <c r="B136" s="52" t="s">
        <v>38</v>
      </c>
      <c r="C136" s="52" t="s">
        <v>382</v>
      </c>
      <c r="D136" s="52" t="s">
        <v>383</v>
      </c>
      <c r="E136" s="51">
        <v>45862.861805555556</v>
      </c>
      <c r="F136" s="29" t="s">
        <v>529</v>
      </c>
      <c r="G136" s="52" t="s">
        <v>384</v>
      </c>
      <c r="H136" s="52" t="s">
        <v>385</v>
      </c>
      <c r="I136" s="52" t="s">
        <v>386</v>
      </c>
      <c r="J136" s="52" t="s">
        <v>387</v>
      </c>
      <c r="K136" s="31" t="s">
        <v>907</v>
      </c>
      <c r="L136" s="37" t="s">
        <v>58</v>
      </c>
      <c r="M136" s="37" t="s">
        <v>952</v>
      </c>
      <c r="N136" s="52" t="s">
        <v>389</v>
      </c>
      <c r="O136" s="52">
        <v>62</v>
      </c>
      <c r="P136" s="52">
        <v>31</v>
      </c>
      <c r="Q136" s="52">
        <v>1381</v>
      </c>
      <c r="R136" s="52">
        <v>2.2999999999999998</v>
      </c>
      <c r="S136" s="52">
        <v>407.9</v>
      </c>
      <c r="T136" s="44" t="s">
        <v>31</v>
      </c>
      <c r="U136" s="44" t="s">
        <v>32</v>
      </c>
      <c r="V136" s="29" t="s">
        <v>640</v>
      </c>
      <c r="W136" s="52" t="s">
        <v>258</v>
      </c>
      <c r="X136" s="52"/>
      <c r="Y136" s="52"/>
      <c r="Z136" s="52"/>
      <c r="AA136" s="29"/>
      <c r="AB136" s="29"/>
      <c r="AC136" s="30"/>
    </row>
    <row r="137" spans="1:29" ht="13.8" thickBot="1" x14ac:dyDescent="0.3">
      <c r="A137" s="73"/>
      <c r="B137" s="52"/>
      <c r="C137" s="52"/>
      <c r="D137" s="52"/>
      <c r="E137" s="51"/>
      <c r="F137" s="29"/>
      <c r="G137" s="52"/>
      <c r="H137" s="52"/>
      <c r="I137" s="52"/>
      <c r="J137" s="52"/>
      <c r="K137" s="31">
        <v>0</v>
      </c>
      <c r="L137" s="37"/>
      <c r="M137" s="37"/>
      <c r="N137" s="52"/>
      <c r="O137" s="52"/>
      <c r="P137" s="52"/>
      <c r="Q137" s="52"/>
      <c r="R137" s="52"/>
      <c r="S137" s="52"/>
      <c r="T137" s="44"/>
      <c r="U137" s="52"/>
      <c r="V137" s="52"/>
      <c r="W137" s="52"/>
      <c r="X137" s="52"/>
      <c r="Y137" s="52"/>
      <c r="Z137" s="52"/>
      <c r="AA137" s="29"/>
      <c r="AB137" s="29"/>
      <c r="AC137" s="30"/>
    </row>
    <row r="138" spans="1:29" ht="13.8" thickBot="1" x14ac:dyDescent="0.3">
      <c r="A138" s="73" t="s">
        <v>29</v>
      </c>
      <c r="B138" s="52" t="s">
        <v>38</v>
      </c>
      <c r="C138" s="52" t="s">
        <v>390</v>
      </c>
      <c r="D138" s="52" t="s">
        <v>391</v>
      </c>
      <c r="E138" s="51">
        <v>45862.865277777775</v>
      </c>
      <c r="F138" s="29" t="s">
        <v>529</v>
      </c>
      <c r="G138" s="52" t="s">
        <v>392</v>
      </c>
      <c r="H138" s="52" t="s">
        <v>393</v>
      </c>
      <c r="I138" s="52" t="s">
        <v>394</v>
      </c>
      <c r="J138" s="52" t="s">
        <v>395</v>
      </c>
      <c r="K138" s="31" t="s">
        <v>908</v>
      </c>
      <c r="L138" s="37" t="s">
        <v>441</v>
      </c>
      <c r="M138" s="37" t="s">
        <v>953</v>
      </c>
      <c r="N138" s="52" t="s">
        <v>396</v>
      </c>
      <c r="O138" s="52">
        <v>174</v>
      </c>
      <c r="P138" s="52">
        <v>174</v>
      </c>
      <c r="Q138" s="52">
        <v>2814</v>
      </c>
      <c r="R138" s="52">
        <v>12.63</v>
      </c>
      <c r="S138" s="52">
        <v>2498.9</v>
      </c>
      <c r="T138" s="44" t="s">
        <v>31</v>
      </c>
      <c r="U138" s="44" t="s">
        <v>32</v>
      </c>
      <c r="V138" s="29" t="s">
        <v>640</v>
      </c>
      <c r="W138" s="52" t="s">
        <v>258</v>
      </c>
      <c r="X138" s="52"/>
      <c r="Y138" s="52"/>
      <c r="Z138" s="32" t="s">
        <v>610</v>
      </c>
      <c r="AA138" s="33">
        <v>45865</v>
      </c>
      <c r="AB138" s="32" t="s">
        <v>573</v>
      </c>
      <c r="AC138" s="30"/>
    </row>
    <row r="139" spans="1:29" ht="13.8" thickBot="1" x14ac:dyDescent="0.3">
      <c r="A139" s="73"/>
      <c r="B139" s="52"/>
      <c r="C139" s="52"/>
      <c r="D139" s="52"/>
      <c r="E139" s="51"/>
      <c r="F139" s="29"/>
      <c r="G139" s="52"/>
      <c r="H139" s="52"/>
      <c r="I139" s="52"/>
      <c r="J139" s="52"/>
      <c r="K139" s="31">
        <v>0</v>
      </c>
      <c r="L139" s="37"/>
      <c r="M139" s="37"/>
      <c r="N139" s="52"/>
      <c r="O139" s="52"/>
      <c r="P139" s="52"/>
      <c r="Q139" s="52"/>
      <c r="R139" s="52"/>
      <c r="S139" s="52"/>
      <c r="T139" s="44"/>
      <c r="U139" s="52"/>
      <c r="V139" s="52"/>
      <c r="W139" s="52"/>
      <c r="X139" s="52"/>
      <c r="Y139" s="52"/>
      <c r="Z139" s="52"/>
      <c r="AA139" s="29"/>
      <c r="AB139" s="29"/>
      <c r="AC139" s="30"/>
    </row>
    <row r="140" spans="1:29" ht="14.4" x14ac:dyDescent="0.25">
      <c r="A140" s="43" t="s">
        <v>29</v>
      </c>
      <c r="B140" s="44" t="s">
        <v>345</v>
      </c>
      <c r="C140" s="44" t="s">
        <v>346</v>
      </c>
      <c r="D140" s="44" t="s">
        <v>347</v>
      </c>
      <c r="E140" s="45">
        <v>45862.676388888889</v>
      </c>
      <c r="F140" s="63" t="s">
        <v>528</v>
      </c>
      <c r="G140" s="44" t="s">
        <v>348</v>
      </c>
      <c r="H140" s="44" t="s">
        <v>349</v>
      </c>
      <c r="I140" s="44" t="s">
        <v>350</v>
      </c>
      <c r="J140" s="44" t="s">
        <v>351</v>
      </c>
      <c r="K140" s="31" t="s">
        <v>909</v>
      </c>
      <c r="L140" s="44" t="s">
        <v>193</v>
      </c>
      <c r="M140" s="44">
        <v>13</v>
      </c>
      <c r="N140" s="44" t="s">
        <v>312</v>
      </c>
      <c r="O140" s="44">
        <v>38</v>
      </c>
      <c r="P140" s="44">
        <v>38</v>
      </c>
      <c r="Q140" s="44">
        <v>501</v>
      </c>
      <c r="R140" s="44">
        <v>2</v>
      </c>
      <c r="S140" s="44">
        <v>378</v>
      </c>
      <c r="T140" s="44" t="s">
        <v>31</v>
      </c>
      <c r="U140" s="44" t="s">
        <v>32</v>
      </c>
      <c r="V140" s="29" t="s">
        <v>640</v>
      </c>
      <c r="W140" s="38" t="s">
        <v>233</v>
      </c>
      <c r="X140" s="29"/>
      <c r="Y140" s="29"/>
      <c r="Z140" s="32" t="s">
        <v>600</v>
      </c>
      <c r="AA140" s="33">
        <v>45864</v>
      </c>
      <c r="AB140" s="32" t="s">
        <v>575</v>
      </c>
      <c r="AC140" s="30"/>
    </row>
    <row r="141" spans="1:29" ht="13.8" thickBot="1" x14ac:dyDescent="0.3">
      <c r="A141" s="79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9" t="s">
        <v>644</v>
      </c>
      <c r="P141" s="59">
        <f>SUM(P119:P140)</f>
        <v>1014</v>
      </c>
      <c r="Q141" s="59">
        <f>SUM(Q119:Q140)</f>
        <v>22013</v>
      </c>
      <c r="R141" s="59">
        <f>SUM(R119:R140)</f>
        <v>64.42</v>
      </c>
      <c r="S141" s="59">
        <f>SUM(S119:S140)</f>
        <v>12452.839999999998</v>
      </c>
      <c r="T141" s="59" t="s">
        <v>645</v>
      </c>
      <c r="U141" s="57"/>
      <c r="V141" s="57"/>
      <c r="W141" s="57"/>
      <c r="X141" s="57"/>
      <c r="Y141" s="57"/>
      <c r="Z141" s="57"/>
      <c r="AA141" s="57"/>
      <c r="AB141" s="57"/>
      <c r="AC141" s="60"/>
    </row>
    <row r="145" spans="1:29" ht="13.8" thickBot="1" x14ac:dyDescent="0.3"/>
    <row r="146" spans="1:29" ht="13.8" thickBot="1" x14ac:dyDescent="0.3">
      <c r="A146" s="6" t="s">
        <v>681</v>
      </c>
    </row>
    <row r="147" spans="1:29" ht="13.8" thickBot="1" x14ac:dyDescent="0.3">
      <c r="A147" s="7" t="s">
        <v>2</v>
      </c>
      <c r="B147" s="8" t="s">
        <v>3</v>
      </c>
      <c r="C147" s="8" t="s">
        <v>4</v>
      </c>
      <c r="D147" s="8" t="s">
        <v>5</v>
      </c>
      <c r="E147" s="8" t="s">
        <v>6</v>
      </c>
      <c r="F147" s="8" t="s">
        <v>7</v>
      </c>
      <c r="G147" s="8" t="s">
        <v>8</v>
      </c>
      <c r="H147" s="8" t="s">
        <v>9</v>
      </c>
      <c r="I147" s="8" t="s">
        <v>10</v>
      </c>
      <c r="J147" s="8" t="s">
        <v>11</v>
      </c>
      <c r="K147" s="8" t="s">
        <v>860</v>
      </c>
      <c r="L147" s="8" t="s">
        <v>12</v>
      </c>
      <c r="M147" s="8" t="s">
        <v>950</v>
      </c>
      <c r="N147" s="8" t="s">
        <v>13</v>
      </c>
      <c r="O147" s="8" t="s">
        <v>14</v>
      </c>
      <c r="P147" s="8" t="s">
        <v>15</v>
      </c>
      <c r="Q147" s="8" t="s">
        <v>16</v>
      </c>
      <c r="R147" s="8" t="s">
        <v>17</v>
      </c>
      <c r="S147" s="8" t="s">
        <v>18</v>
      </c>
      <c r="T147" s="8" t="s">
        <v>19</v>
      </c>
      <c r="U147" s="8" t="s">
        <v>20</v>
      </c>
      <c r="V147" s="8" t="s">
        <v>21</v>
      </c>
      <c r="W147" s="9" t="s">
        <v>22</v>
      </c>
      <c r="X147" s="10" t="s">
        <v>23</v>
      </c>
      <c r="Y147" s="11" t="s">
        <v>24</v>
      </c>
      <c r="Z147" s="12" t="s">
        <v>25</v>
      </c>
      <c r="AA147" s="8" t="s">
        <v>26</v>
      </c>
      <c r="AB147" s="8" t="s">
        <v>27</v>
      </c>
      <c r="AC147" s="13" t="s">
        <v>28</v>
      </c>
    </row>
    <row r="148" spans="1:29" ht="15" thickBot="1" x14ac:dyDescent="0.3">
      <c r="A148" s="80" t="s">
        <v>29</v>
      </c>
      <c r="B148" s="81" t="s">
        <v>37</v>
      </c>
      <c r="C148" s="81" t="s">
        <v>463</v>
      </c>
      <c r="D148" s="81" t="s">
        <v>464</v>
      </c>
      <c r="E148" s="78">
        <v>45862.865972222222</v>
      </c>
      <c r="F148" s="19" t="s">
        <v>528</v>
      </c>
      <c r="G148" s="81" t="s">
        <v>465</v>
      </c>
      <c r="H148" s="81" t="s">
        <v>466</v>
      </c>
      <c r="I148" s="81" t="s">
        <v>467</v>
      </c>
      <c r="J148" s="81" t="s">
        <v>468</v>
      </c>
      <c r="K148" s="31" t="s">
        <v>910</v>
      </c>
      <c r="L148" s="61" t="s">
        <v>117</v>
      </c>
      <c r="M148" s="61" t="s">
        <v>954</v>
      </c>
      <c r="N148" s="81" t="s">
        <v>118</v>
      </c>
      <c r="O148" s="81">
        <v>23</v>
      </c>
      <c r="P148" s="81">
        <v>23</v>
      </c>
      <c r="Q148" s="81">
        <v>400</v>
      </c>
      <c r="R148" s="81">
        <v>1.25</v>
      </c>
      <c r="S148" s="81">
        <v>275.16000000000003</v>
      </c>
      <c r="T148" s="70" t="s">
        <v>31</v>
      </c>
      <c r="U148" s="81" t="s">
        <v>32</v>
      </c>
      <c r="V148" s="19" t="s">
        <v>640</v>
      </c>
      <c r="W148" s="62" t="s">
        <v>233</v>
      </c>
      <c r="X148" s="20" t="s">
        <v>854</v>
      </c>
      <c r="Y148" s="20" t="s">
        <v>855</v>
      </c>
      <c r="Z148" s="21" t="s">
        <v>607</v>
      </c>
      <c r="AA148" s="22">
        <v>45864</v>
      </c>
      <c r="AB148" s="21" t="s">
        <v>573</v>
      </c>
      <c r="AC148" s="23"/>
    </row>
    <row r="149" spans="1:29" ht="13.8" thickBot="1" x14ac:dyDescent="0.3">
      <c r="A149" s="49"/>
      <c r="B149" s="50"/>
      <c r="C149" s="50"/>
      <c r="D149" s="50"/>
      <c r="E149" s="51"/>
      <c r="F149" s="29"/>
      <c r="G149" s="50"/>
      <c r="H149" s="50"/>
      <c r="I149" s="50"/>
      <c r="J149" s="50"/>
      <c r="K149" s="31">
        <v>0</v>
      </c>
      <c r="L149" s="37"/>
      <c r="M149" s="37"/>
      <c r="N149" s="50"/>
      <c r="O149" s="50"/>
      <c r="P149" s="50"/>
      <c r="Q149" s="50"/>
      <c r="R149" s="50"/>
      <c r="S149" s="50"/>
      <c r="T149" s="44"/>
      <c r="U149" s="50"/>
      <c r="V149" s="50"/>
      <c r="W149" s="50"/>
      <c r="X149" s="50"/>
      <c r="Y149" s="50"/>
      <c r="Z149" s="50"/>
      <c r="AA149" s="29"/>
      <c r="AB149" s="29"/>
      <c r="AC149" s="30"/>
    </row>
    <row r="150" spans="1:29" ht="15" thickBot="1" x14ac:dyDescent="0.35">
      <c r="A150" s="73" t="s">
        <v>29</v>
      </c>
      <c r="B150" s="52" t="s">
        <v>38</v>
      </c>
      <c r="C150" s="52" t="s">
        <v>397</v>
      </c>
      <c r="D150" s="52" t="s">
        <v>398</v>
      </c>
      <c r="E150" s="51">
        <v>45862.870833333334</v>
      </c>
      <c r="F150" s="29" t="s">
        <v>642</v>
      </c>
      <c r="G150" s="52" t="s">
        <v>399</v>
      </c>
      <c r="H150" s="52" t="s">
        <v>400</v>
      </c>
      <c r="I150" s="52" t="s">
        <v>401</v>
      </c>
      <c r="J150" s="52" t="s">
        <v>402</v>
      </c>
      <c r="K150" s="31" t="s">
        <v>911</v>
      </c>
      <c r="L150" s="37" t="s">
        <v>221</v>
      </c>
      <c r="M150" s="37" t="s">
        <v>957</v>
      </c>
      <c r="N150" s="52" t="s">
        <v>396</v>
      </c>
      <c r="O150" s="52">
        <v>108</v>
      </c>
      <c r="P150" s="52">
        <v>43</v>
      </c>
      <c r="Q150" s="52">
        <v>1013</v>
      </c>
      <c r="R150" s="52">
        <v>3.12</v>
      </c>
      <c r="S150" s="52">
        <v>601.29999999999995</v>
      </c>
      <c r="T150" s="44" t="s">
        <v>31</v>
      </c>
      <c r="U150" s="44" t="s">
        <v>32</v>
      </c>
      <c r="V150" s="29" t="s">
        <v>640</v>
      </c>
      <c r="W150" s="53" t="s">
        <v>234</v>
      </c>
      <c r="X150" s="52"/>
      <c r="Y150" s="52"/>
      <c r="Z150" s="32" t="s">
        <v>686</v>
      </c>
      <c r="AA150" s="33">
        <v>45867</v>
      </c>
      <c r="AB150" s="32" t="s">
        <v>573</v>
      </c>
      <c r="AC150" s="30"/>
    </row>
    <row r="151" spans="1:29" ht="13.8" thickBot="1" x14ac:dyDescent="0.3">
      <c r="A151" s="73" t="s">
        <v>29</v>
      </c>
      <c r="B151" s="52" t="s">
        <v>38</v>
      </c>
      <c r="C151" s="52" t="s">
        <v>397</v>
      </c>
      <c r="D151" s="52" t="s">
        <v>398</v>
      </c>
      <c r="E151" s="51">
        <v>45862.870833333334</v>
      </c>
      <c r="F151" s="29" t="s">
        <v>642</v>
      </c>
      <c r="G151" s="52" t="s">
        <v>399</v>
      </c>
      <c r="H151" s="52" t="s">
        <v>403</v>
      </c>
      <c r="I151" s="52">
        <v>375750</v>
      </c>
      <c r="J151" s="52" t="s">
        <v>402</v>
      </c>
      <c r="K151" s="31" t="s">
        <v>911</v>
      </c>
      <c r="L151" s="37" t="s">
        <v>48</v>
      </c>
      <c r="M151" s="37" t="s">
        <v>958</v>
      </c>
      <c r="N151" s="52" t="s">
        <v>396</v>
      </c>
      <c r="O151" s="52">
        <v>108</v>
      </c>
      <c r="P151" s="52">
        <v>41</v>
      </c>
      <c r="Q151" s="52">
        <v>982</v>
      </c>
      <c r="R151" s="52">
        <v>2.98</v>
      </c>
      <c r="S151" s="52">
        <v>507.6</v>
      </c>
      <c r="T151" s="44" t="s">
        <v>31</v>
      </c>
      <c r="U151" s="44" t="s">
        <v>32</v>
      </c>
      <c r="V151" s="29" t="s">
        <v>640</v>
      </c>
      <c r="W151" s="52" t="s">
        <v>258</v>
      </c>
      <c r="X151" s="52"/>
      <c r="Y151" s="52"/>
      <c r="Z151" s="52"/>
      <c r="AA151" s="29"/>
      <c r="AB151" s="29"/>
      <c r="AC151" s="30"/>
    </row>
    <row r="152" spans="1:29" ht="13.8" thickBot="1" x14ac:dyDescent="0.3">
      <c r="A152" s="73" t="s">
        <v>29</v>
      </c>
      <c r="B152" s="52" t="s">
        <v>38</v>
      </c>
      <c r="C152" s="52" t="s">
        <v>397</v>
      </c>
      <c r="D152" s="52" t="s">
        <v>398</v>
      </c>
      <c r="E152" s="51">
        <v>45862.870833333334</v>
      </c>
      <c r="F152" s="29" t="s">
        <v>642</v>
      </c>
      <c r="G152" s="52" t="s">
        <v>404</v>
      </c>
      <c r="H152" s="52" t="s">
        <v>405</v>
      </c>
      <c r="I152" s="52" t="s">
        <v>406</v>
      </c>
      <c r="J152" s="52" t="s">
        <v>402</v>
      </c>
      <c r="K152" s="31" t="s">
        <v>911</v>
      </c>
      <c r="L152" s="37" t="s">
        <v>49</v>
      </c>
      <c r="M152" s="37" t="s">
        <v>959</v>
      </c>
      <c r="N152" s="52" t="s">
        <v>396</v>
      </c>
      <c r="O152" s="52">
        <v>108</v>
      </c>
      <c r="P152" s="52">
        <v>24</v>
      </c>
      <c r="Q152" s="52">
        <v>413</v>
      </c>
      <c r="R152" s="52">
        <v>1.74</v>
      </c>
      <c r="S152" s="52">
        <v>316.7</v>
      </c>
      <c r="T152" s="44" t="s">
        <v>31</v>
      </c>
      <c r="U152" s="44" t="s">
        <v>32</v>
      </c>
      <c r="V152" s="29" t="s">
        <v>640</v>
      </c>
      <c r="W152" s="52" t="s">
        <v>258</v>
      </c>
      <c r="X152" s="52"/>
      <c r="Y152" s="52"/>
      <c r="Z152" s="52"/>
      <c r="AA152" s="29"/>
      <c r="AB152" s="29"/>
      <c r="AC152" s="30"/>
    </row>
    <row r="153" spans="1:29" ht="13.8" thickBot="1" x14ac:dyDescent="0.3">
      <c r="A153" s="73"/>
      <c r="B153" s="52"/>
      <c r="C153" s="52"/>
      <c r="D153" s="52"/>
      <c r="E153" s="51"/>
      <c r="F153" s="29"/>
      <c r="G153" s="52"/>
      <c r="H153" s="52"/>
      <c r="I153" s="52"/>
      <c r="J153" s="52"/>
      <c r="K153" s="31">
        <v>0</v>
      </c>
      <c r="L153" s="37"/>
      <c r="M153" s="37"/>
      <c r="N153" s="52"/>
      <c r="O153" s="52"/>
      <c r="P153" s="52"/>
      <c r="Q153" s="52"/>
      <c r="R153" s="52"/>
      <c r="S153" s="52"/>
      <c r="T153" s="44"/>
      <c r="U153" s="52"/>
      <c r="V153" s="52"/>
      <c r="W153" s="52"/>
      <c r="X153" s="52"/>
      <c r="Y153" s="52"/>
      <c r="Z153" s="52"/>
      <c r="AA153" s="29"/>
      <c r="AB153" s="29"/>
      <c r="AC153" s="30"/>
    </row>
    <row r="154" spans="1:29" ht="13.8" thickBot="1" x14ac:dyDescent="0.3">
      <c r="A154" s="73" t="s">
        <v>29</v>
      </c>
      <c r="B154" s="52" t="s">
        <v>38</v>
      </c>
      <c r="C154" s="52" t="s">
        <v>407</v>
      </c>
      <c r="D154" s="52" t="s">
        <v>408</v>
      </c>
      <c r="E154" s="51">
        <v>45862.868750000001</v>
      </c>
      <c r="F154" s="29" t="s">
        <v>529</v>
      </c>
      <c r="G154" s="52" t="s">
        <v>409</v>
      </c>
      <c r="H154" s="52" t="s">
        <v>410</v>
      </c>
      <c r="I154" s="52" t="s">
        <v>411</v>
      </c>
      <c r="J154" s="52" t="s">
        <v>412</v>
      </c>
      <c r="K154" s="31" t="s">
        <v>912</v>
      </c>
      <c r="L154" s="37" t="s">
        <v>442</v>
      </c>
      <c r="M154" s="37" t="s">
        <v>960</v>
      </c>
      <c r="N154" s="52" t="s">
        <v>371</v>
      </c>
      <c r="O154" s="52">
        <v>118</v>
      </c>
      <c r="P154" s="52">
        <v>70</v>
      </c>
      <c r="Q154" s="52">
        <v>5172</v>
      </c>
      <c r="R154" s="52">
        <v>4.57</v>
      </c>
      <c r="S154" s="52">
        <v>922.92</v>
      </c>
      <c r="T154" s="44" t="s">
        <v>31</v>
      </c>
      <c r="U154" s="44" t="s">
        <v>32</v>
      </c>
      <c r="V154" s="29" t="s">
        <v>640</v>
      </c>
      <c r="W154" s="52" t="s">
        <v>258</v>
      </c>
      <c r="X154" s="52"/>
      <c r="Y154" s="52"/>
      <c r="Z154" s="32" t="s">
        <v>611</v>
      </c>
      <c r="AA154" s="33">
        <v>45865</v>
      </c>
      <c r="AB154" s="32" t="s">
        <v>573</v>
      </c>
      <c r="AC154" s="30"/>
    </row>
    <row r="155" spans="1:29" ht="13.8" thickBot="1" x14ac:dyDescent="0.3">
      <c r="A155" s="73" t="s">
        <v>29</v>
      </c>
      <c r="B155" s="52" t="s">
        <v>38</v>
      </c>
      <c r="C155" s="52" t="s">
        <v>407</v>
      </c>
      <c r="D155" s="52" t="s">
        <v>408</v>
      </c>
      <c r="E155" s="51">
        <v>45862.868750000001</v>
      </c>
      <c r="F155" s="29" t="s">
        <v>529</v>
      </c>
      <c r="G155" s="52" t="s">
        <v>413</v>
      </c>
      <c r="H155" s="52" t="s">
        <v>414</v>
      </c>
      <c r="I155" s="52" t="s">
        <v>415</v>
      </c>
      <c r="J155" s="52" t="s">
        <v>412</v>
      </c>
      <c r="K155" s="31" t="s">
        <v>912</v>
      </c>
      <c r="L155" s="37" t="s">
        <v>338</v>
      </c>
      <c r="M155" s="37" t="s">
        <v>967</v>
      </c>
      <c r="N155" s="52" t="s">
        <v>371</v>
      </c>
      <c r="O155" s="52">
        <v>118</v>
      </c>
      <c r="P155" s="52">
        <v>48</v>
      </c>
      <c r="Q155" s="52">
        <v>5167</v>
      </c>
      <c r="R155" s="52">
        <v>3.14</v>
      </c>
      <c r="S155" s="52">
        <v>665.3</v>
      </c>
      <c r="T155" s="44" t="s">
        <v>31</v>
      </c>
      <c r="U155" s="44" t="s">
        <v>32</v>
      </c>
      <c r="V155" s="29" t="s">
        <v>640</v>
      </c>
      <c r="W155" s="52" t="s">
        <v>258</v>
      </c>
      <c r="X155" s="52"/>
      <c r="Y155" s="52"/>
      <c r="Z155" s="52"/>
      <c r="AA155" s="29"/>
      <c r="AB155" s="29"/>
      <c r="AC155" s="30"/>
    </row>
    <row r="156" spans="1:29" ht="13.8" thickBot="1" x14ac:dyDescent="0.3">
      <c r="A156" s="39"/>
      <c r="B156" s="29"/>
      <c r="C156" s="29"/>
      <c r="D156" s="29"/>
      <c r="E156" s="29"/>
      <c r="F156" s="29"/>
      <c r="G156" s="29"/>
      <c r="H156" s="29"/>
      <c r="I156" s="29"/>
      <c r="J156" s="29"/>
      <c r="K156" s="31">
        <v>0</v>
      </c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30"/>
    </row>
    <row r="157" spans="1:29" ht="13.8" thickBot="1" x14ac:dyDescent="0.3">
      <c r="A157" s="49" t="s">
        <v>29</v>
      </c>
      <c r="B157" s="50" t="s">
        <v>30</v>
      </c>
      <c r="C157" s="50" t="s">
        <v>477</v>
      </c>
      <c r="D157" s="50" t="s">
        <v>478</v>
      </c>
      <c r="E157" s="82">
        <v>45863.6875</v>
      </c>
      <c r="F157" s="83" t="s">
        <v>613</v>
      </c>
      <c r="G157" s="50" t="s">
        <v>479</v>
      </c>
      <c r="H157" s="50" t="s">
        <v>480</v>
      </c>
      <c r="I157" s="50" t="s">
        <v>481</v>
      </c>
      <c r="J157" s="50" t="s">
        <v>482</v>
      </c>
      <c r="K157" s="31" t="s">
        <v>913</v>
      </c>
      <c r="L157" s="50" t="s">
        <v>483</v>
      </c>
      <c r="M157" s="50">
        <v>7</v>
      </c>
      <c r="N157" s="50" t="s">
        <v>59</v>
      </c>
      <c r="O157" s="50">
        <v>66</v>
      </c>
      <c r="P157" s="50">
        <v>66</v>
      </c>
      <c r="Q157" s="50">
        <v>2000</v>
      </c>
      <c r="R157" s="50">
        <v>4.6500000000000004</v>
      </c>
      <c r="S157" s="50">
        <v>840.05</v>
      </c>
      <c r="T157" s="50" t="s">
        <v>31</v>
      </c>
      <c r="U157" s="44" t="s">
        <v>32</v>
      </c>
      <c r="V157" s="29" t="s">
        <v>640</v>
      </c>
      <c r="W157" s="29" t="s">
        <v>258</v>
      </c>
      <c r="X157" s="29"/>
      <c r="Y157" s="29"/>
      <c r="Z157" s="32" t="s">
        <v>687</v>
      </c>
      <c r="AA157" s="33">
        <v>45866</v>
      </c>
      <c r="AB157" s="32" t="s">
        <v>573</v>
      </c>
      <c r="AC157" s="30"/>
    </row>
    <row r="158" spans="1:29" ht="13.8" thickBot="1" x14ac:dyDescent="0.3">
      <c r="A158" s="39"/>
      <c r="B158" s="29"/>
      <c r="C158" s="29"/>
      <c r="D158" s="29"/>
      <c r="E158" s="29"/>
      <c r="F158" s="29"/>
      <c r="G158" s="29"/>
      <c r="H158" s="29"/>
      <c r="I158" s="29"/>
      <c r="J158" s="29"/>
      <c r="K158" s="31">
        <v>0</v>
      </c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30"/>
    </row>
    <row r="159" spans="1:29" ht="15" thickBot="1" x14ac:dyDescent="0.35">
      <c r="A159" s="73" t="s">
        <v>29</v>
      </c>
      <c r="B159" s="52" t="s">
        <v>53</v>
      </c>
      <c r="C159" s="52" t="s">
        <v>484</v>
      </c>
      <c r="D159" s="52" t="s">
        <v>485</v>
      </c>
      <c r="E159" s="51">
        <v>45863.839583333334</v>
      </c>
      <c r="F159" s="29" t="s">
        <v>642</v>
      </c>
      <c r="G159" s="52" t="s">
        <v>486</v>
      </c>
      <c r="H159" s="52" t="s">
        <v>487</v>
      </c>
      <c r="I159" s="52" t="s">
        <v>488</v>
      </c>
      <c r="J159" s="52" t="s">
        <v>489</v>
      </c>
      <c r="K159" s="31" t="s">
        <v>914</v>
      </c>
      <c r="L159" s="37" t="s">
        <v>495</v>
      </c>
      <c r="M159" s="37" t="s">
        <v>963</v>
      </c>
      <c r="N159" s="52" t="s">
        <v>292</v>
      </c>
      <c r="O159" s="52">
        <v>44</v>
      </c>
      <c r="P159" s="52">
        <v>10</v>
      </c>
      <c r="Q159" s="52">
        <v>955</v>
      </c>
      <c r="R159" s="52">
        <v>0.52</v>
      </c>
      <c r="S159" s="52">
        <v>116.1</v>
      </c>
      <c r="T159" s="44" t="s">
        <v>31</v>
      </c>
      <c r="U159" s="50" t="s">
        <v>32</v>
      </c>
      <c r="V159" s="29" t="s">
        <v>640</v>
      </c>
      <c r="W159" s="53" t="s">
        <v>234</v>
      </c>
      <c r="X159" s="52"/>
      <c r="Y159" s="52" t="s">
        <v>159</v>
      </c>
      <c r="Z159" s="32" t="s">
        <v>688</v>
      </c>
      <c r="AA159" s="33">
        <v>45867</v>
      </c>
      <c r="AB159" s="32" t="s">
        <v>573</v>
      </c>
      <c r="AC159" s="30"/>
    </row>
    <row r="160" spans="1:29" ht="13.8" thickBot="1" x14ac:dyDescent="0.3">
      <c r="A160" s="73" t="s">
        <v>29</v>
      </c>
      <c r="B160" s="52" t="s">
        <v>53</v>
      </c>
      <c r="C160" s="52" t="s">
        <v>484</v>
      </c>
      <c r="D160" s="52" t="s">
        <v>485</v>
      </c>
      <c r="E160" s="51">
        <v>45863.839583333334</v>
      </c>
      <c r="F160" s="29" t="s">
        <v>642</v>
      </c>
      <c r="G160" s="52" t="s">
        <v>486</v>
      </c>
      <c r="H160" s="52" t="s">
        <v>490</v>
      </c>
      <c r="I160" s="52" t="s">
        <v>491</v>
      </c>
      <c r="J160" s="52" t="s">
        <v>489</v>
      </c>
      <c r="K160" s="31" t="s">
        <v>914</v>
      </c>
      <c r="L160" s="37" t="s">
        <v>444</v>
      </c>
      <c r="M160" s="37" t="s">
        <v>964</v>
      </c>
      <c r="N160" s="52" t="s">
        <v>292</v>
      </c>
      <c r="O160" s="52">
        <v>44</v>
      </c>
      <c r="P160" s="52">
        <v>9</v>
      </c>
      <c r="Q160" s="52">
        <v>675</v>
      </c>
      <c r="R160" s="52">
        <v>0.47</v>
      </c>
      <c r="S160" s="52">
        <v>96</v>
      </c>
      <c r="T160" s="44" t="s">
        <v>31</v>
      </c>
      <c r="U160" s="50" t="s">
        <v>32</v>
      </c>
      <c r="V160" s="29" t="s">
        <v>640</v>
      </c>
      <c r="W160" s="52" t="s">
        <v>258</v>
      </c>
      <c r="X160" s="52"/>
      <c r="Y160" s="52" t="s">
        <v>159</v>
      </c>
      <c r="Z160" s="52" t="s">
        <v>159</v>
      </c>
      <c r="AA160" s="29"/>
      <c r="AB160" s="29"/>
      <c r="AC160" s="30"/>
    </row>
    <row r="161" spans="1:29" ht="13.8" thickBot="1" x14ac:dyDescent="0.3">
      <c r="A161" s="73" t="s">
        <v>29</v>
      </c>
      <c r="B161" s="52" t="s">
        <v>53</v>
      </c>
      <c r="C161" s="52" t="s">
        <v>484</v>
      </c>
      <c r="D161" s="52" t="s">
        <v>485</v>
      </c>
      <c r="E161" s="51">
        <v>45863.839583333334</v>
      </c>
      <c r="F161" s="29" t="s">
        <v>642</v>
      </c>
      <c r="G161" s="52" t="s">
        <v>492</v>
      </c>
      <c r="H161" s="52" t="s">
        <v>493</v>
      </c>
      <c r="I161" s="52" t="s">
        <v>87</v>
      </c>
      <c r="J161" s="52" t="s">
        <v>494</v>
      </c>
      <c r="K161" s="31" t="s">
        <v>915</v>
      </c>
      <c r="L161" s="37" t="s">
        <v>303</v>
      </c>
      <c r="M161" s="37" t="s">
        <v>951</v>
      </c>
      <c r="N161" s="52" t="s">
        <v>292</v>
      </c>
      <c r="O161" s="52">
        <v>44</v>
      </c>
      <c r="P161" s="52">
        <v>25</v>
      </c>
      <c r="Q161" s="52">
        <v>1000</v>
      </c>
      <c r="R161" s="52">
        <v>1.31</v>
      </c>
      <c r="S161" s="52">
        <v>308.2</v>
      </c>
      <c r="T161" s="44" t="s">
        <v>31</v>
      </c>
      <c r="U161" s="50" t="s">
        <v>32</v>
      </c>
      <c r="V161" s="29" t="s">
        <v>640</v>
      </c>
      <c r="W161" s="52" t="s">
        <v>258</v>
      </c>
      <c r="X161" s="52"/>
      <c r="Y161" s="52" t="s">
        <v>159</v>
      </c>
      <c r="Z161" s="52" t="s">
        <v>159</v>
      </c>
      <c r="AA161" s="29"/>
      <c r="AB161" s="29"/>
      <c r="AC161" s="30"/>
    </row>
    <row r="162" spans="1:29" ht="13.8" thickBot="1" x14ac:dyDescent="0.3">
      <c r="A162" s="39"/>
      <c r="B162" s="29"/>
      <c r="C162" s="29"/>
      <c r="D162" s="29"/>
      <c r="E162" s="29"/>
      <c r="F162" s="29"/>
      <c r="G162" s="29"/>
      <c r="H162" s="29"/>
      <c r="I162" s="29"/>
      <c r="J162" s="29"/>
      <c r="K162" s="31">
        <v>0</v>
      </c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30"/>
    </row>
    <row r="163" spans="1:29" ht="13.8" thickBot="1" x14ac:dyDescent="0.3">
      <c r="A163" s="84" t="s">
        <v>29</v>
      </c>
      <c r="B163" s="85" t="s">
        <v>36</v>
      </c>
      <c r="C163" s="85" t="s">
        <v>496</v>
      </c>
      <c r="D163" s="85" t="s">
        <v>497</v>
      </c>
      <c r="E163" s="86">
        <v>45863.055555555555</v>
      </c>
      <c r="F163" s="29" t="s">
        <v>642</v>
      </c>
      <c r="G163" s="85" t="s">
        <v>498</v>
      </c>
      <c r="H163" s="85" t="s">
        <v>499</v>
      </c>
      <c r="I163" s="85" t="s">
        <v>500</v>
      </c>
      <c r="J163" s="85" t="s">
        <v>501</v>
      </c>
      <c r="K163" s="31" t="s">
        <v>916</v>
      </c>
      <c r="L163" s="87" t="s">
        <v>476</v>
      </c>
      <c r="M163" s="87">
        <v>11</v>
      </c>
      <c r="N163" s="85" t="s">
        <v>502</v>
      </c>
      <c r="O163" s="29">
        <v>210</v>
      </c>
      <c r="P163" s="85">
        <v>12</v>
      </c>
      <c r="Q163" s="85">
        <v>476</v>
      </c>
      <c r="R163" s="85">
        <v>0.74</v>
      </c>
      <c r="S163" s="85">
        <v>118.15</v>
      </c>
      <c r="T163" s="85" t="s">
        <v>31</v>
      </c>
      <c r="U163" s="85" t="s">
        <v>32</v>
      </c>
      <c r="V163" s="29" t="s">
        <v>640</v>
      </c>
      <c r="W163" s="29" t="s">
        <v>258</v>
      </c>
      <c r="X163" s="29"/>
      <c r="Y163" s="29"/>
      <c r="Z163" s="32" t="s">
        <v>689</v>
      </c>
      <c r="AA163" s="33">
        <v>45864</v>
      </c>
      <c r="AB163" s="32" t="s">
        <v>573</v>
      </c>
      <c r="AC163" s="30"/>
    </row>
    <row r="164" spans="1:29" ht="15" thickBot="1" x14ac:dyDescent="0.35">
      <c r="A164" s="84" t="s">
        <v>29</v>
      </c>
      <c r="B164" s="85" t="s">
        <v>36</v>
      </c>
      <c r="C164" s="85" t="s">
        <v>496</v>
      </c>
      <c r="D164" s="85" t="s">
        <v>497</v>
      </c>
      <c r="E164" s="86">
        <v>45863.055555555555</v>
      </c>
      <c r="F164" s="29" t="s">
        <v>642</v>
      </c>
      <c r="G164" s="85" t="s">
        <v>498</v>
      </c>
      <c r="H164" s="85" t="s">
        <v>503</v>
      </c>
      <c r="I164" s="85" t="s">
        <v>504</v>
      </c>
      <c r="J164" s="85" t="s">
        <v>501</v>
      </c>
      <c r="K164" s="31" t="s">
        <v>916</v>
      </c>
      <c r="L164" s="87" t="s">
        <v>505</v>
      </c>
      <c r="M164" s="87">
        <v>12</v>
      </c>
      <c r="N164" s="85" t="s">
        <v>502</v>
      </c>
      <c r="O164" s="29">
        <v>210</v>
      </c>
      <c r="P164" s="85">
        <v>17</v>
      </c>
      <c r="Q164" s="85">
        <v>969</v>
      </c>
      <c r="R164" s="85">
        <v>1.04</v>
      </c>
      <c r="S164" s="85">
        <v>185.05</v>
      </c>
      <c r="T164" s="85" t="s">
        <v>31</v>
      </c>
      <c r="U164" s="85" t="s">
        <v>32</v>
      </c>
      <c r="V164" s="29" t="s">
        <v>640</v>
      </c>
      <c r="W164" s="53" t="s">
        <v>234</v>
      </c>
      <c r="X164" s="29"/>
      <c r="Y164" s="29"/>
      <c r="Z164" s="29"/>
      <c r="AA164" s="29"/>
      <c r="AB164" s="29"/>
      <c r="AC164" s="30"/>
    </row>
    <row r="165" spans="1:29" ht="13.8" thickBot="1" x14ac:dyDescent="0.3">
      <c r="A165" s="84" t="s">
        <v>29</v>
      </c>
      <c r="B165" s="85" t="s">
        <v>36</v>
      </c>
      <c r="C165" s="85" t="s">
        <v>496</v>
      </c>
      <c r="D165" s="85" t="s">
        <v>497</v>
      </c>
      <c r="E165" s="86">
        <v>45863.055555555555</v>
      </c>
      <c r="F165" s="29" t="s">
        <v>642</v>
      </c>
      <c r="G165" s="85" t="s">
        <v>498</v>
      </c>
      <c r="H165" s="85" t="s">
        <v>506</v>
      </c>
      <c r="I165" s="85" t="s">
        <v>507</v>
      </c>
      <c r="J165" s="85" t="s">
        <v>501</v>
      </c>
      <c r="K165" s="31" t="s">
        <v>916</v>
      </c>
      <c r="L165" s="87" t="s">
        <v>476</v>
      </c>
      <c r="M165" s="87">
        <v>13</v>
      </c>
      <c r="N165" s="85" t="s">
        <v>502</v>
      </c>
      <c r="O165" s="29">
        <v>210</v>
      </c>
      <c r="P165" s="85">
        <v>12</v>
      </c>
      <c r="Q165" s="85">
        <v>494</v>
      </c>
      <c r="R165" s="85">
        <v>0.74</v>
      </c>
      <c r="S165" s="85">
        <v>118.26</v>
      </c>
      <c r="T165" s="85" t="s">
        <v>31</v>
      </c>
      <c r="U165" s="85" t="s">
        <v>32</v>
      </c>
      <c r="V165" s="29" t="s">
        <v>640</v>
      </c>
      <c r="W165" s="29" t="s">
        <v>258</v>
      </c>
      <c r="X165" s="29"/>
      <c r="Y165" s="29"/>
      <c r="Z165" s="29"/>
      <c r="AA165" s="29"/>
      <c r="AB165" s="29"/>
      <c r="AC165" s="30"/>
    </row>
    <row r="166" spans="1:29" ht="15" thickBot="1" x14ac:dyDescent="0.35">
      <c r="A166" s="84" t="s">
        <v>29</v>
      </c>
      <c r="B166" s="85" t="s">
        <v>36</v>
      </c>
      <c r="C166" s="85" t="s">
        <v>496</v>
      </c>
      <c r="D166" s="85" t="s">
        <v>497</v>
      </c>
      <c r="E166" s="86">
        <v>45863.055555555555</v>
      </c>
      <c r="F166" s="29" t="s">
        <v>642</v>
      </c>
      <c r="G166" s="85" t="s">
        <v>498</v>
      </c>
      <c r="H166" s="85" t="s">
        <v>508</v>
      </c>
      <c r="I166" s="85" t="s">
        <v>509</v>
      </c>
      <c r="J166" s="85" t="s">
        <v>501</v>
      </c>
      <c r="K166" s="31" t="s">
        <v>916</v>
      </c>
      <c r="L166" s="87" t="s">
        <v>134</v>
      </c>
      <c r="M166" s="87">
        <v>14</v>
      </c>
      <c r="N166" s="85" t="s">
        <v>502</v>
      </c>
      <c r="O166" s="29">
        <v>210</v>
      </c>
      <c r="P166" s="85">
        <v>18</v>
      </c>
      <c r="Q166" s="85">
        <v>1000</v>
      </c>
      <c r="R166" s="85">
        <v>1.1100000000000001</v>
      </c>
      <c r="S166" s="85">
        <v>174.85</v>
      </c>
      <c r="T166" s="85" t="s">
        <v>31</v>
      </c>
      <c r="U166" s="85" t="s">
        <v>32</v>
      </c>
      <c r="V166" s="29" t="s">
        <v>640</v>
      </c>
      <c r="W166" s="53" t="s">
        <v>234</v>
      </c>
      <c r="X166" s="29"/>
      <c r="Y166" s="29"/>
      <c r="Z166" s="29"/>
      <c r="AA166" s="29"/>
      <c r="AB166" s="29"/>
      <c r="AC166" s="30"/>
    </row>
    <row r="167" spans="1:29" ht="13.8" thickBot="1" x14ac:dyDescent="0.3">
      <c r="A167" s="84" t="s">
        <v>29</v>
      </c>
      <c r="B167" s="85" t="s">
        <v>36</v>
      </c>
      <c r="C167" s="85" t="s">
        <v>496</v>
      </c>
      <c r="D167" s="85" t="s">
        <v>497</v>
      </c>
      <c r="E167" s="86">
        <v>45863.055555555555</v>
      </c>
      <c r="F167" s="29" t="s">
        <v>642</v>
      </c>
      <c r="G167" s="85" t="s">
        <v>498</v>
      </c>
      <c r="H167" s="85" t="s">
        <v>510</v>
      </c>
      <c r="I167" s="85" t="s">
        <v>511</v>
      </c>
      <c r="J167" s="85" t="s">
        <v>501</v>
      </c>
      <c r="K167" s="31" t="s">
        <v>916</v>
      </c>
      <c r="L167" s="87" t="s">
        <v>512</v>
      </c>
      <c r="M167" s="87">
        <v>15</v>
      </c>
      <c r="N167" s="85" t="s">
        <v>502</v>
      </c>
      <c r="O167" s="29">
        <v>210</v>
      </c>
      <c r="P167" s="85">
        <v>11</v>
      </c>
      <c r="Q167" s="85">
        <v>503</v>
      </c>
      <c r="R167" s="85">
        <v>0.68</v>
      </c>
      <c r="S167" s="85">
        <v>118.75</v>
      </c>
      <c r="T167" s="85" t="s">
        <v>31</v>
      </c>
      <c r="U167" s="85" t="s">
        <v>32</v>
      </c>
      <c r="V167" s="29" t="s">
        <v>640</v>
      </c>
      <c r="W167" s="29" t="s">
        <v>258</v>
      </c>
      <c r="X167" s="29"/>
      <c r="Y167" s="29"/>
      <c r="Z167" s="29"/>
      <c r="AA167" s="29"/>
      <c r="AB167" s="29"/>
      <c r="AC167" s="30"/>
    </row>
    <row r="168" spans="1:29" ht="15" thickBot="1" x14ac:dyDescent="0.35">
      <c r="A168" s="84" t="s">
        <v>29</v>
      </c>
      <c r="B168" s="85" t="s">
        <v>36</v>
      </c>
      <c r="C168" s="85" t="s">
        <v>496</v>
      </c>
      <c r="D168" s="85" t="s">
        <v>497</v>
      </c>
      <c r="E168" s="86">
        <v>45863.055555555555</v>
      </c>
      <c r="F168" s="29" t="s">
        <v>642</v>
      </c>
      <c r="G168" s="85" t="s">
        <v>498</v>
      </c>
      <c r="H168" s="85" t="s">
        <v>513</v>
      </c>
      <c r="I168" s="85" t="s">
        <v>514</v>
      </c>
      <c r="J168" s="85" t="s">
        <v>501</v>
      </c>
      <c r="K168" s="31" t="s">
        <v>916</v>
      </c>
      <c r="L168" s="87" t="s">
        <v>512</v>
      </c>
      <c r="M168" s="87">
        <v>16</v>
      </c>
      <c r="N168" s="85" t="s">
        <v>502</v>
      </c>
      <c r="O168" s="29">
        <v>210</v>
      </c>
      <c r="P168" s="85">
        <v>11</v>
      </c>
      <c r="Q168" s="85">
        <v>510</v>
      </c>
      <c r="R168" s="85">
        <v>0.68</v>
      </c>
      <c r="S168" s="85">
        <v>125.9</v>
      </c>
      <c r="T168" s="85" t="s">
        <v>31</v>
      </c>
      <c r="U168" s="85" t="s">
        <v>32</v>
      </c>
      <c r="V168" s="29" t="s">
        <v>640</v>
      </c>
      <c r="W168" s="53" t="s">
        <v>234</v>
      </c>
      <c r="X168" s="29"/>
      <c r="Y168" s="29"/>
      <c r="Z168" s="29"/>
      <c r="AA168" s="29"/>
      <c r="AB168" s="29"/>
      <c r="AC168" s="30"/>
    </row>
    <row r="169" spans="1:29" ht="13.8" thickBot="1" x14ac:dyDescent="0.3">
      <c r="A169" s="84" t="s">
        <v>29</v>
      </c>
      <c r="B169" s="85" t="s">
        <v>36</v>
      </c>
      <c r="C169" s="85" t="s">
        <v>496</v>
      </c>
      <c r="D169" s="85" t="s">
        <v>497</v>
      </c>
      <c r="E169" s="86">
        <v>45863.055555555555</v>
      </c>
      <c r="F169" s="29" t="s">
        <v>642</v>
      </c>
      <c r="G169" s="85" t="s">
        <v>515</v>
      </c>
      <c r="H169" s="85" t="s">
        <v>516</v>
      </c>
      <c r="I169" s="85" t="s">
        <v>517</v>
      </c>
      <c r="J169" s="85" t="s">
        <v>518</v>
      </c>
      <c r="K169" s="31" t="s">
        <v>917</v>
      </c>
      <c r="L169" s="87" t="s">
        <v>519</v>
      </c>
      <c r="M169" s="87">
        <v>17</v>
      </c>
      <c r="N169" s="85" t="s">
        <v>502</v>
      </c>
      <c r="O169" s="29">
        <v>210</v>
      </c>
      <c r="P169" s="85">
        <v>67</v>
      </c>
      <c r="Q169" s="85">
        <v>4591</v>
      </c>
      <c r="R169" s="85">
        <v>4.12</v>
      </c>
      <c r="S169" s="85">
        <v>797.5</v>
      </c>
      <c r="T169" s="85" t="s">
        <v>31</v>
      </c>
      <c r="U169" s="85" t="s">
        <v>32</v>
      </c>
      <c r="V169" s="29" t="s">
        <v>640</v>
      </c>
      <c r="W169" s="29" t="s">
        <v>258</v>
      </c>
      <c r="X169" s="29"/>
      <c r="Y169" s="29"/>
      <c r="Z169" s="29"/>
      <c r="AA169" s="29"/>
      <c r="AB169" s="29"/>
      <c r="AC169" s="30"/>
    </row>
    <row r="170" spans="1:29" ht="13.8" thickBot="1" x14ac:dyDescent="0.3">
      <c r="A170" s="84" t="s">
        <v>29</v>
      </c>
      <c r="B170" s="85" t="s">
        <v>36</v>
      </c>
      <c r="C170" s="85" t="s">
        <v>496</v>
      </c>
      <c r="D170" s="85" t="s">
        <v>497</v>
      </c>
      <c r="E170" s="86">
        <v>45863.055555555555</v>
      </c>
      <c r="F170" s="29" t="s">
        <v>642</v>
      </c>
      <c r="G170" s="85" t="s">
        <v>520</v>
      </c>
      <c r="H170" s="85" t="s">
        <v>521</v>
      </c>
      <c r="I170" s="85" t="s">
        <v>522</v>
      </c>
      <c r="J170" s="85" t="s">
        <v>523</v>
      </c>
      <c r="K170" s="31" t="s">
        <v>918</v>
      </c>
      <c r="L170" s="87" t="s">
        <v>58</v>
      </c>
      <c r="M170" s="87">
        <v>18</v>
      </c>
      <c r="N170" s="85" t="s">
        <v>502</v>
      </c>
      <c r="O170" s="29">
        <v>210</v>
      </c>
      <c r="P170" s="85">
        <v>31</v>
      </c>
      <c r="Q170" s="85">
        <v>1522</v>
      </c>
      <c r="R170" s="85">
        <v>1.91</v>
      </c>
      <c r="S170" s="85">
        <v>397.8</v>
      </c>
      <c r="T170" s="85" t="s">
        <v>31</v>
      </c>
      <c r="U170" s="85" t="s">
        <v>32</v>
      </c>
      <c r="V170" s="29" t="s">
        <v>640</v>
      </c>
      <c r="W170" s="29" t="s">
        <v>258</v>
      </c>
      <c r="X170" s="29"/>
      <c r="Y170" s="29"/>
      <c r="Z170" s="29"/>
      <c r="AA170" s="29"/>
      <c r="AB170" s="29"/>
      <c r="AC170" s="30"/>
    </row>
    <row r="171" spans="1:29" ht="13.8" thickBot="1" x14ac:dyDescent="0.3">
      <c r="A171" s="84" t="s">
        <v>29</v>
      </c>
      <c r="B171" s="85" t="s">
        <v>36</v>
      </c>
      <c r="C171" s="85" t="s">
        <v>496</v>
      </c>
      <c r="D171" s="85" t="s">
        <v>497</v>
      </c>
      <c r="E171" s="86">
        <v>45863.055555555555</v>
      </c>
      <c r="F171" s="29" t="s">
        <v>642</v>
      </c>
      <c r="G171" s="85" t="s">
        <v>520</v>
      </c>
      <c r="H171" s="85" t="s">
        <v>524</v>
      </c>
      <c r="I171" s="85" t="s">
        <v>525</v>
      </c>
      <c r="J171" s="85" t="s">
        <v>526</v>
      </c>
      <c r="K171" s="31" t="s">
        <v>919</v>
      </c>
      <c r="L171" s="87" t="s">
        <v>58</v>
      </c>
      <c r="M171" s="87">
        <v>19</v>
      </c>
      <c r="N171" s="85" t="s">
        <v>502</v>
      </c>
      <c r="O171" s="29">
        <v>210</v>
      </c>
      <c r="P171" s="85">
        <v>31</v>
      </c>
      <c r="Q171" s="85">
        <v>1500</v>
      </c>
      <c r="R171" s="85">
        <v>1.91</v>
      </c>
      <c r="S171" s="85">
        <v>393.3</v>
      </c>
      <c r="T171" s="85" t="s">
        <v>31</v>
      </c>
      <c r="U171" s="85" t="s">
        <v>32</v>
      </c>
      <c r="V171" s="29" t="s">
        <v>640</v>
      </c>
      <c r="W171" s="29" t="s">
        <v>258</v>
      </c>
      <c r="X171" s="29"/>
      <c r="Y171" s="29"/>
      <c r="Z171" s="29"/>
      <c r="AA171" s="29"/>
      <c r="AB171" s="29"/>
      <c r="AC171" s="30"/>
    </row>
    <row r="172" spans="1:29" ht="13.8" thickBot="1" x14ac:dyDescent="0.3">
      <c r="A172" s="39"/>
      <c r="B172" s="29"/>
      <c r="C172" s="29"/>
      <c r="D172" s="29"/>
      <c r="E172" s="29"/>
      <c r="F172" s="29"/>
      <c r="G172" s="29"/>
      <c r="H172" s="29"/>
      <c r="I172" s="29"/>
      <c r="J172" s="29"/>
      <c r="K172" s="31">
        <v>0</v>
      </c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30"/>
    </row>
    <row r="173" spans="1:29" ht="13.8" thickBot="1" x14ac:dyDescent="0.3">
      <c r="A173" s="88" t="s">
        <v>29</v>
      </c>
      <c r="B173" s="89" t="s">
        <v>37</v>
      </c>
      <c r="C173" s="89" t="s">
        <v>530</v>
      </c>
      <c r="D173" s="89" t="s">
        <v>531</v>
      </c>
      <c r="E173" s="90">
        <v>45865.853472222225</v>
      </c>
      <c r="F173" s="29" t="s">
        <v>642</v>
      </c>
      <c r="G173" s="89" t="s">
        <v>532</v>
      </c>
      <c r="H173" s="89" t="s">
        <v>533</v>
      </c>
      <c r="I173" s="89" t="s">
        <v>534</v>
      </c>
      <c r="J173" s="89" t="s">
        <v>535</v>
      </c>
      <c r="K173" s="31" t="s">
        <v>920</v>
      </c>
      <c r="L173" s="89" t="s">
        <v>344</v>
      </c>
      <c r="M173" s="89">
        <v>20</v>
      </c>
      <c r="N173" s="89" t="s">
        <v>536</v>
      </c>
      <c r="O173" s="89">
        <v>76</v>
      </c>
      <c r="P173" s="89">
        <v>76</v>
      </c>
      <c r="Q173" s="89">
        <v>1470</v>
      </c>
      <c r="R173" s="89">
        <v>3.94</v>
      </c>
      <c r="S173" s="89">
        <v>883.58</v>
      </c>
      <c r="T173" s="89" t="s">
        <v>31</v>
      </c>
      <c r="U173" s="44" t="s">
        <v>32</v>
      </c>
      <c r="V173" s="29" t="s">
        <v>640</v>
      </c>
      <c r="W173" s="29" t="s">
        <v>258</v>
      </c>
      <c r="X173" s="29"/>
      <c r="Y173" s="29"/>
      <c r="Z173" s="32" t="s">
        <v>690</v>
      </c>
      <c r="AA173" s="33">
        <v>45867</v>
      </c>
      <c r="AB173" s="32" t="s">
        <v>573</v>
      </c>
      <c r="AC173" s="30"/>
    </row>
    <row r="174" spans="1:29" ht="13.8" thickBot="1" x14ac:dyDescent="0.3">
      <c r="A174" s="88"/>
      <c r="B174" s="89"/>
      <c r="C174" s="89"/>
      <c r="D174" s="89"/>
      <c r="E174" s="90"/>
      <c r="F174" s="29"/>
      <c r="G174" s="89"/>
      <c r="H174" s="89"/>
      <c r="I174" s="89"/>
      <c r="J174" s="89"/>
      <c r="K174" s="31">
        <v>0</v>
      </c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29"/>
      <c r="W174" s="29"/>
      <c r="X174" s="29"/>
      <c r="Y174" s="29"/>
      <c r="Z174" s="29"/>
      <c r="AA174" s="29"/>
      <c r="AB174" s="29"/>
      <c r="AC174" s="30"/>
    </row>
    <row r="175" spans="1:29" ht="13.8" thickBot="1" x14ac:dyDescent="0.3">
      <c r="A175" s="88" t="s">
        <v>29</v>
      </c>
      <c r="B175" s="89" t="s">
        <v>37</v>
      </c>
      <c r="C175" s="89" t="s">
        <v>537</v>
      </c>
      <c r="D175" s="89" t="s">
        <v>538</v>
      </c>
      <c r="E175" s="90">
        <v>45865.856249999997</v>
      </c>
      <c r="F175" s="29" t="s">
        <v>642</v>
      </c>
      <c r="G175" s="89" t="s">
        <v>539</v>
      </c>
      <c r="H175" s="89" t="s">
        <v>540</v>
      </c>
      <c r="I175" s="89" t="s">
        <v>541</v>
      </c>
      <c r="J175" s="89" t="s">
        <v>542</v>
      </c>
      <c r="K175" s="31" t="s">
        <v>921</v>
      </c>
      <c r="L175" s="89" t="s">
        <v>189</v>
      </c>
      <c r="M175" s="89">
        <v>21</v>
      </c>
      <c r="N175" s="89" t="s">
        <v>543</v>
      </c>
      <c r="O175" s="89">
        <v>94</v>
      </c>
      <c r="P175" s="89">
        <v>94</v>
      </c>
      <c r="Q175" s="89">
        <v>1802</v>
      </c>
      <c r="R175" s="89">
        <v>4.84</v>
      </c>
      <c r="S175" s="89">
        <v>1122.79</v>
      </c>
      <c r="T175" s="89" t="s">
        <v>31</v>
      </c>
      <c r="U175" s="44" t="s">
        <v>32</v>
      </c>
      <c r="V175" s="29" t="s">
        <v>640</v>
      </c>
      <c r="W175" s="29" t="s">
        <v>258</v>
      </c>
      <c r="X175" s="29"/>
      <c r="Y175" s="29"/>
      <c r="Z175" s="32" t="s">
        <v>691</v>
      </c>
      <c r="AA175" s="33">
        <v>45867</v>
      </c>
      <c r="AB175" s="32" t="s">
        <v>573</v>
      </c>
      <c r="AC175" s="30"/>
    </row>
    <row r="176" spans="1:29" ht="13.8" thickBot="1" x14ac:dyDescent="0.3">
      <c r="A176" s="39"/>
      <c r="B176" s="29"/>
      <c r="C176" s="29"/>
      <c r="D176" s="29"/>
      <c r="E176" s="29"/>
      <c r="F176" s="29"/>
      <c r="G176" s="29"/>
      <c r="H176" s="29"/>
      <c r="I176" s="29"/>
      <c r="J176" s="29"/>
      <c r="K176" s="31">
        <v>0</v>
      </c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30"/>
    </row>
    <row r="177" spans="1:29" ht="13.8" thickBot="1" x14ac:dyDescent="0.3">
      <c r="A177" s="88" t="s">
        <v>29</v>
      </c>
      <c r="B177" s="89" t="s">
        <v>40</v>
      </c>
      <c r="C177" s="89" t="s">
        <v>544</v>
      </c>
      <c r="D177" s="89" t="s">
        <v>545</v>
      </c>
      <c r="E177" s="90">
        <v>45865.858333333337</v>
      </c>
      <c r="F177" s="29" t="s">
        <v>642</v>
      </c>
      <c r="G177" s="89" t="s">
        <v>546</v>
      </c>
      <c r="H177" s="89" t="s">
        <v>547</v>
      </c>
      <c r="I177" s="89" t="s">
        <v>548</v>
      </c>
      <c r="J177" s="89" t="s">
        <v>549</v>
      </c>
      <c r="K177" s="31" t="s">
        <v>922</v>
      </c>
      <c r="L177" s="89" t="s">
        <v>550</v>
      </c>
      <c r="M177" s="89">
        <v>22</v>
      </c>
      <c r="N177" s="89" t="s">
        <v>536</v>
      </c>
      <c r="O177" s="89">
        <v>113</v>
      </c>
      <c r="P177" s="89">
        <v>113</v>
      </c>
      <c r="Q177" s="89">
        <v>2006</v>
      </c>
      <c r="R177" s="89">
        <v>5.86</v>
      </c>
      <c r="S177" s="89">
        <v>1432.3</v>
      </c>
      <c r="T177" s="89" t="s">
        <v>31</v>
      </c>
      <c r="U177" s="89" t="s">
        <v>32</v>
      </c>
      <c r="V177" s="29" t="s">
        <v>640</v>
      </c>
      <c r="W177" s="29" t="s">
        <v>258</v>
      </c>
      <c r="X177" s="29"/>
      <c r="Y177" s="29"/>
      <c r="Z177" s="32" t="s">
        <v>692</v>
      </c>
      <c r="AA177" s="33">
        <v>45867</v>
      </c>
      <c r="AB177" s="32" t="s">
        <v>573</v>
      </c>
      <c r="AC177" s="30"/>
    </row>
    <row r="178" spans="1:29" ht="13.8" thickBot="1" x14ac:dyDescent="0.3">
      <c r="A178" s="88"/>
      <c r="B178" s="89"/>
      <c r="C178" s="89"/>
      <c r="D178" s="89"/>
      <c r="E178" s="90"/>
      <c r="F178" s="29"/>
      <c r="G178" s="89"/>
      <c r="H178" s="89"/>
      <c r="I178" s="89"/>
      <c r="J178" s="89"/>
      <c r="K178" s="31">
        <v>0</v>
      </c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29"/>
      <c r="W178" s="29"/>
      <c r="X178" s="29"/>
      <c r="Y178" s="29"/>
      <c r="Z178" s="29"/>
      <c r="AA178" s="29"/>
      <c r="AB178" s="29"/>
      <c r="AC178" s="30"/>
    </row>
    <row r="179" spans="1:29" ht="13.8" thickBot="1" x14ac:dyDescent="0.3">
      <c r="A179" s="88" t="s">
        <v>29</v>
      </c>
      <c r="B179" s="89" t="s">
        <v>40</v>
      </c>
      <c r="C179" s="89" t="s">
        <v>551</v>
      </c>
      <c r="D179" s="89" t="s">
        <v>552</v>
      </c>
      <c r="E179" s="90">
        <v>45865.857638888891</v>
      </c>
      <c r="F179" s="29" t="s">
        <v>642</v>
      </c>
      <c r="G179" s="89" t="s">
        <v>553</v>
      </c>
      <c r="H179" s="89" t="s">
        <v>554</v>
      </c>
      <c r="I179" s="89" t="s">
        <v>555</v>
      </c>
      <c r="J179" s="89" t="s">
        <v>556</v>
      </c>
      <c r="K179" s="31" t="s">
        <v>923</v>
      </c>
      <c r="L179" s="89" t="s">
        <v>557</v>
      </c>
      <c r="M179" s="89">
        <v>23</v>
      </c>
      <c r="N179" s="89" t="s">
        <v>135</v>
      </c>
      <c r="O179" s="89">
        <v>125</v>
      </c>
      <c r="P179" s="89">
        <v>125</v>
      </c>
      <c r="Q179" s="89">
        <v>2168</v>
      </c>
      <c r="R179" s="89">
        <v>6.68</v>
      </c>
      <c r="S179" s="89">
        <v>1595.24</v>
      </c>
      <c r="T179" s="89" t="s">
        <v>31</v>
      </c>
      <c r="U179" s="89" t="s">
        <v>32</v>
      </c>
      <c r="V179" s="29" t="s">
        <v>640</v>
      </c>
      <c r="W179" s="29" t="s">
        <v>258</v>
      </c>
      <c r="X179" s="29"/>
      <c r="Y179" s="29"/>
      <c r="Z179" s="32" t="s">
        <v>693</v>
      </c>
      <c r="AA179" s="33">
        <v>45867</v>
      </c>
      <c r="AB179" s="32" t="s">
        <v>573</v>
      </c>
      <c r="AC179" s="30"/>
    </row>
    <row r="180" spans="1:29" ht="13.8" thickBot="1" x14ac:dyDescent="0.3">
      <c r="A180" s="88"/>
      <c r="B180" s="89"/>
      <c r="C180" s="89"/>
      <c r="D180" s="89"/>
      <c r="E180" s="90"/>
      <c r="F180" s="29"/>
      <c r="G180" s="89"/>
      <c r="H180" s="89"/>
      <c r="I180" s="89"/>
      <c r="J180" s="89"/>
      <c r="K180" s="31">
        <v>0</v>
      </c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29"/>
      <c r="W180" s="29"/>
      <c r="X180" s="29"/>
      <c r="Y180" s="29"/>
      <c r="Z180" s="29"/>
      <c r="AA180" s="29"/>
      <c r="AB180" s="29"/>
      <c r="AC180" s="30"/>
    </row>
    <row r="181" spans="1:29" ht="13.8" thickBot="1" x14ac:dyDescent="0.3">
      <c r="A181" s="88" t="s">
        <v>29</v>
      </c>
      <c r="B181" s="89" t="s">
        <v>35</v>
      </c>
      <c r="C181" s="89" t="s">
        <v>558</v>
      </c>
      <c r="D181" s="89" t="s">
        <v>559</v>
      </c>
      <c r="E181" s="90">
        <v>45865.857638888891</v>
      </c>
      <c r="F181" s="29" t="s">
        <v>642</v>
      </c>
      <c r="G181" s="89" t="s">
        <v>560</v>
      </c>
      <c r="H181" s="89" t="s">
        <v>561</v>
      </c>
      <c r="I181" s="89" t="s">
        <v>562</v>
      </c>
      <c r="J181" s="89" t="s">
        <v>563</v>
      </c>
      <c r="K181" s="31" t="s">
        <v>924</v>
      </c>
      <c r="L181" s="89" t="s">
        <v>564</v>
      </c>
      <c r="M181" s="89">
        <v>24</v>
      </c>
      <c r="N181" s="89" t="s">
        <v>47</v>
      </c>
      <c r="O181" s="89">
        <v>73</v>
      </c>
      <c r="P181" s="89">
        <v>7</v>
      </c>
      <c r="Q181" s="89">
        <v>213</v>
      </c>
      <c r="R181" s="89">
        <v>0.65</v>
      </c>
      <c r="S181" s="89">
        <v>93.1</v>
      </c>
      <c r="T181" s="89" t="s">
        <v>31</v>
      </c>
      <c r="U181" s="44" t="s">
        <v>32</v>
      </c>
      <c r="V181" s="29" t="s">
        <v>640</v>
      </c>
      <c r="W181" s="29" t="s">
        <v>258</v>
      </c>
      <c r="X181" s="29"/>
      <c r="Y181" s="29"/>
      <c r="Z181" s="32" t="s">
        <v>694</v>
      </c>
      <c r="AA181" s="33">
        <v>45867</v>
      </c>
      <c r="AB181" s="32" t="s">
        <v>573</v>
      </c>
      <c r="AC181" s="30"/>
    </row>
    <row r="182" spans="1:29" ht="13.8" thickBot="1" x14ac:dyDescent="0.3">
      <c r="A182" s="88" t="s">
        <v>29</v>
      </c>
      <c r="B182" s="89" t="s">
        <v>35</v>
      </c>
      <c r="C182" s="89" t="s">
        <v>558</v>
      </c>
      <c r="D182" s="89" t="s">
        <v>559</v>
      </c>
      <c r="E182" s="90">
        <v>45865.857638888891</v>
      </c>
      <c r="F182" s="29" t="s">
        <v>642</v>
      </c>
      <c r="G182" s="89" t="s">
        <v>560</v>
      </c>
      <c r="H182" s="89" t="s">
        <v>565</v>
      </c>
      <c r="I182" s="89" t="s">
        <v>566</v>
      </c>
      <c r="J182" s="89" t="s">
        <v>563</v>
      </c>
      <c r="K182" s="31" t="s">
        <v>924</v>
      </c>
      <c r="L182" s="89" t="s">
        <v>567</v>
      </c>
      <c r="M182" s="89">
        <v>25</v>
      </c>
      <c r="N182" s="89" t="s">
        <v>47</v>
      </c>
      <c r="O182" s="89">
        <v>73</v>
      </c>
      <c r="P182" s="89">
        <v>56</v>
      </c>
      <c r="Q182" s="89">
        <v>1498</v>
      </c>
      <c r="R182" s="89">
        <v>5.23</v>
      </c>
      <c r="S182" s="89">
        <v>784.7</v>
      </c>
      <c r="T182" s="89" t="s">
        <v>31</v>
      </c>
      <c r="U182" s="44" t="s">
        <v>32</v>
      </c>
      <c r="V182" s="29" t="s">
        <v>640</v>
      </c>
      <c r="W182" s="29" t="s">
        <v>258</v>
      </c>
      <c r="X182" s="29"/>
      <c r="Y182" s="29"/>
      <c r="Z182" s="29"/>
      <c r="AA182" s="29"/>
      <c r="AB182" s="29"/>
      <c r="AC182" s="30"/>
    </row>
    <row r="183" spans="1:29" x14ac:dyDescent="0.25">
      <c r="A183" s="88" t="s">
        <v>29</v>
      </c>
      <c r="B183" s="89" t="s">
        <v>35</v>
      </c>
      <c r="C183" s="89" t="s">
        <v>558</v>
      </c>
      <c r="D183" s="89" t="s">
        <v>559</v>
      </c>
      <c r="E183" s="90">
        <v>45865.857638888891</v>
      </c>
      <c r="F183" s="29" t="s">
        <v>642</v>
      </c>
      <c r="G183" s="89" t="s">
        <v>568</v>
      </c>
      <c r="H183" s="89" t="s">
        <v>569</v>
      </c>
      <c r="I183" s="89" t="s">
        <v>570</v>
      </c>
      <c r="J183" s="89" t="s">
        <v>571</v>
      </c>
      <c r="K183" s="31" t="s">
        <v>925</v>
      </c>
      <c r="L183" s="89" t="s">
        <v>495</v>
      </c>
      <c r="M183" s="89">
        <v>26</v>
      </c>
      <c r="N183" s="89" t="s">
        <v>572</v>
      </c>
      <c r="O183" s="89">
        <v>73</v>
      </c>
      <c r="P183" s="89">
        <v>10</v>
      </c>
      <c r="Q183" s="89">
        <v>462</v>
      </c>
      <c r="R183" s="89">
        <v>0.57999999999999996</v>
      </c>
      <c r="S183" s="89">
        <v>106.8</v>
      </c>
      <c r="T183" s="89" t="s">
        <v>31</v>
      </c>
      <c r="U183" s="44" t="s">
        <v>32</v>
      </c>
      <c r="V183" s="29" t="s">
        <v>640</v>
      </c>
      <c r="W183" s="29" t="s">
        <v>258</v>
      </c>
      <c r="X183" s="29"/>
      <c r="Y183" s="29"/>
      <c r="Z183" s="29"/>
      <c r="AA183" s="29"/>
      <c r="AB183" s="29"/>
      <c r="AC183" s="30"/>
    </row>
    <row r="184" spans="1:29" ht="13.8" thickBot="1" x14ac:dyDescent="0.3">
      <c r="A184" s="91"/>
      <c r="B184" s="92"/>
      <c r="C184" s="92"/>
      <c r="D184" s="92"/>
      <c r="E184" s="93"/>
      <c r="F184" s="57"/>
      <c r="G184" s="92"/>
      <c r="H184" s="92"/>
      <c r="I184" s="92"/>
      <c r="J184" s="92"/>
      <c r="K184" s="92"/>
      <c r="L184" s="92"/>
      <c r="M184" s="92"/>
      <c r="N184" s="92"/>
      <c r="O184" s="59" t="s">
        <v>644</v>
      </c>
      <c r="P184" s="59">
        <f>SUM(P148:P183)</f>
        <v>1050</v>
      </c>
      <c r="Q184" s="59">
        <f>SUM(Q148:Q183)</f>
        <v>38961</v>
      </c>
      <c r="R184" s="59">
        <f>SUM(R148:R183)</f>
        <v>64.45999999999998</v>
      </c>
      <c r="S184" s="59">
        <f>SUM(S148:S183)</f>
        <v>13097.4</v>
      </c>
      <c r="T184" s="59" t="s">
        <v>645</v>
      </c>
      <c r="U184" s="92"/>
      <c r="V184" s="57"/>
      <c r="W184" s="57"/>
      <c r="X184" s="57"/>
      <c r="Y184" s="57"/>
      <c r="Z184" s="57"/>
      <c r="AA184" s="57"/>
      <c r="AB184" s="57"/>
      <c r="AC184" s="60"/>
    </row>
    <row r="187" spans="1:29" ht="13.8" thickBot="1" x14ac:dyDescent="0.3"/>
    <row r="188" spans="1:29" ht="13.8" thickBot="1" x14ac:dyDescent="0.3">
      <c r="A188" s="6" t="s">
        <v>825</v>
      </c>
    </row>
    <row r="189" spans="1:29" ht="13.8" thickBot="1" x14ac:dyDescent="0.3">
      <c r="A189" s="7" t="s">
        <v>2</v>
      </c>
      <c r="B189" s="8" t="s">
        <v>3</v>
      </c>
      <c r="C189" s="8" t="s">
        <v>4</v>
      </c>
      <c r="D189" s="8" t="s">
        <v>5</v>
      </c>
      <c r="E189" s="8" t="s">
        <v>6</v>
      </c>
      <c r="F189" s="8" t="s">
        <v>7</v>
      </c>
      <c r="G189" s="8" t="s">
        <v>8</v>
      </c>
      <c r="H189" s="8" t="s">
        <v>9</v>
      </c>
      <c r="I189" s="8" t="s">
        <v>10</v>
      </c>
      <c r="J189" s="8" t="s">
        <v>11</v>
      </c>
      <c r="K189" s="8" t="s">
        <v>860</v>
      </c>
      <c r="L189" s="8" t="s">
        <v>12</v>
      </c>
      <c r="M189" s="8" t="s">
        <v>950</v>
      </c>
      <c r="N189" s="8" t="s">
        <v>13</v>
      </c>
      <c r="O189" s="8" t="s">
        <v>14</v>
      </c>
      <c r="P189" s="8" t="s">
        <v>15</v>
      </c>
      <c r="Q189" s="8" t="s">
        <v>16</v>
      </c>
      <c r="R189" s="8" t="s">
        <v>17</v>
      </c>
      <c r="S189" s="8" t="s">
        <v>18</v>
      </c>
      <c r="T189" s="8" t="s">
        <v>19</v>
      </c>
      <c r="U189" s="8" t="s">
        <v>20</v>
      </c>
      <c r="V189" s="8" t="s">
        <v>21</v>
      </c>
      <c r="W189" s="9" t="s">
        <v>22</v>
      </c>
      <c r="X189" s="10" t="s">
        <v>23</v>
      </c>
      <c r="Y189" s="11" t="s">
        <v>24</v>
      </c>
      <c r="Z189" s="12" t="s">
        <v>25</v>
      </c>
      <c r="AA189" s="8" t="s">
        <v>26</v>
      </c>
      <c r="AB189" s="8" t="s">
        <v>27</v>
      </c>
      <c r="AC189" s="13" t="s">
        <v>28</v>
      </c>
    </row>
    <row r="190" spans="1:29" ht="13.8" thickBot="1" x14ac:dyDescent="0.3">
      <c r="A190" s="94" t="s">
        <v>29</v>
      </c>
      <c r="B190" s="95" t="s">
        <v>53</v>
      </c>
      <c r="C190" s="95" t="s">
        <v>627</v>
      </c>
      <c r="D190" s="95" t="s">
        <v>626</v>
      </c>
      <c r="E190" s="96">
        <v>45867.022222222222</v>
      </c>
      <c r="F190" s="19" t="s">
        <v>642</v>
      </c>
      <c r="G190" s="95" t="s">
        <v>631</v>
      </c>
      <c r="H190" s="95" t="s">
        <v>630</v>
      </c>
      <c r="I190" s="95" t="s">
        <v>637</v>
      </c>
      <c r="J190" s="95" t="s">
        <v>629</v>
      </c>
      <c r="K190" s="31" t="s">
        <v>926</v>
      </c>
      <c r="L190" s="97" t="s">
        <v>81</v>
      </c>
      <c r="M190" s="98">
        <v>1</v>
      </c>
      <c r="N190" s="95" t="s">
        <v>371</v>
      </c>
      <c r="O190" s="19">
        <v>249</v>
      </c>
      <c r="P190" s="95">
        <v>34</v>
      </c>
      <c r="Q190" s="95">
        <v>627</v>
      </c>
      <c r="R190" s="95">
        <v>2.2200000000000002</v>
      </c>
      <c r="S190" s="95">
        <v>479.4</v>
      </c>
      <c r="T190" s="99" t="s">
        <v>31</v>
      </c>
      <c r="U190" s="99" t="s">
        <v>32</v>
      </c>
      <c r="V190" s="19" t="s">
        <v>640</v>
      </c>
      <c r="W190" s="19" t="s">
        <v>258</v>
      </c>
      <c r="X190" s="20" t="s">
        <v>856</v>
      </c>
      <c r="Y190" s="20" t="s">
        <v>857</v>
      </c>
      <c r="Z190" s="21" t="s">
        <v>695</v>
      </c>
      <c r="AA190" s="22">
        <v>45867</v>
      </c>
      <c r="AB190" s="21" t="s">
        <v>573</v>
      </c>
      <c r="AC190" s="23"/>
    </row>
    <row r="191" spans="1:29" ht="13.8" thickBot="1" x14ac:dyDescent="0.3">
      <c r="A191" s="100" t="s">
        <v>29</v>
      </c>
      <c r="B191" s="101" t="s">
        <v>53</v>
      </c>
      <c r="C191" s="101" t="s">
        <v>627</v>
      </c>
      <c r="D191" s="101" t="s">
        <v>626</v>
      </c>
      <c r="E191" s="102">
        <v>45867.022222222222</v>
      </c>
      <c r="F191" s="29" t="s">
        <v>642</v>
      </c>
      <c r="G191" s="101" t="s">
        <v>625</v>
      </c>
      <c r="H191" s="101" t="s">
        <v>628</v>
      </c>
      <c r="I191" s="101" t="s">
        <v>638</v>
      </c>
      <c r="J191" s="101" t="s">
        <v>623</v>
      </c>
      <c r="K191" s="31" t="s">
        <v>927</v>
      </c>
      <c r="L191" s="103" t="s">
        <v>632</v>
      </c>
      <c r="M191" s="98">
        <v>2</v>
      </c>
      <c r="N191" s="101" t="s">
        <v>371</v>
      </c>
      <c r="O191" s="29">
        <v>249</v>
      </c>
      <c r="P191" s="101">
        <v>50</v>
      </c>
      <c r="Q191" s="101">
        <v>954</v>
      </c>
      <c r="R191" s="101">
        <v>3.27</v>
      </c>
      <c r="S191" s="101">
        <v>668.2</v>
      </c>
      <c r="T191" s="104" t="s">
        <v>31</v>
      </c>
      <c r="U191" s="104" t="s">
        <v>32</v>
      </c>
      <c r="V191" s="29" t="s">
        <v>640</v>
      </c>
      <c r="W191" s="29" t="s">
        <v>258</v>
      </c>
      <c r="X191" s="29"/>
      <c r="Y191" s="29"/>
      <c r="Z191" s="29"/>
      <c r="AA191" s="29"/>
      <c r="AB191" s="29"/>
      <c r="AC191" s="30"/>
    </row>
    <row r="192" spans="1:29" ht="13.8" thickBot="1" x14ac:dyDescent="0.3">
      <c r="A192" s="100" t="s">
        <v>29</v>
      </c>
      <c r="B192" s="101" t="s">
        <v>53</v>
      </c>
      <c r="C192" s="101" t="s">
        <v>627</v>
      </c>
      <c r="D192" s="101" t="s">
        <v>626</v>
      </c>
      <c r="E192" s="102">
        <v>45867.022222222222</v>
      </c>
      <c r="F192" s="29" t="s">
        <v>642</v>
      </c>
      <c r="G192" s="101" t="s">
        <v>625</v>
      </c>
      <c r="H192" s="101" t="s">
        <v>624</v>
      </c>
      <c r="I192" s="101" t="s">
        <v>639</v>
      </c>
      <c r="J192" s="101" t="s">
        <v>623</v>
      </c>
      <c r="K192" s="31" t="s">
        <v>927</v>
      </c>
      <c r="L192" s="103" t="s">
        <v>633</v>
      </c>
      <c r="M192" s="98">
        <v>3</v>
      </c>
      <c r="N192" s="101" t="s">
        <v>371</v>
      </c>
      <c r="O192" s="29">
        <v>249</v>
      </c>
      <c r="P192" s="101">
        <v>165</v>
      </c>
      <c r="Q192" s="101">
        <v>3221</v>
      </c>
      <c r="R192" s="101">
        <v>10.78</v>
      </c>
      <c r="S192" s="101">
        <v>2170.8000000000002</v>
      </c>
      <c r="T192" s="104" t="s">
        <v>31</v>
      </c>
      <c r="U192" s="104" t="s">
        <v>32</v>
      </c>
      <c r="V192" s="29" t="s">
        <v>640</v>
      </c>
      <c r="W192" s="29" t="s">
        <v>258</v>
      </c>
      <c r="X192" s="29"/>
      <c r="Y192" s="29"/>
      <c r="Z192" s="29"/>
      <c r="AA192" s="29"/>
      <c r="AB192" s="29"/>
      <c r="AC192" s="30"/>
    </row>
    <row r="193" spans="1:29" ht="13.8" thickBot="1" x14ac:dyDescent="0.3">
      <c r="A193" s="100"/>
      <c r="B193" s="101"/>
      <c r="C193" s="101"/>
      <c r="D193" s="101"/>
      <c r="E193" s="102"/>
      <c r="F193" s="29"/>
      <c r="G193" s="101"/>
      <c r="H193" s="101"/>
      <c r="I193" s="101"/>
      <c r="J193" s="101"/>
      <c r="K193" s="31">
        <v>0</v>
      </c>
      <c r="L193" s="29"/>
      <c r="M193" s="29"/>
      <c r="N193" s="101"/>
      <c r="O193" s="29"/>
      <c r="P193" s="101"/>
      <c r="Q193" s="101"/>
      <c r="R193" s="101"/>
      <c r="S193" s="101"/>
      <c r="T193" s="104"/>
      <c r="U193" s="104"/>
      <c r="V193" s="29"/>
      <c r="W193" s="29"/>
      <c r="X193" s="29"/>
      <c r="Y193" s="29"/>
      <c r="Z193" s="29"/>
      <c r="AA193" s="29"/>
      <c r="AB193" s="29"/>
      <c r="AC193" s="30"/>
    </row>
    <row r="194" spans="1:29" ht="13.8" thickBot="1" x14ac:dyDescent="0.3">
      <c r="A194" s="100" t="s">
        <v>29</v>
      </c>
      <c r="B194" s="101" t="s">
        <v>53</v>
      </c>
      <c r="C194" s="101" t="s">
        <v>622</v>
      </c>
      <c r="D194" s="101" t="s">
        <v>621</v>
      </c>
      <c r="E194" s="102">
        <v>45867.020138888889</v>
      </c>
      <c r="F194" s="29" t="s">
        <v>642</v>
      </c>
      <c r="G194" s="101" t="s">
        <v>72</v>
      </c>
      <c r="H194" s="101" t="s">
        <v>620</v>
      </c>
      <c r="I194" s="101" t="s">
        <v>636</v>
      </c>
      <c r="J194" s="101" t="s">
        <v>619</v>
      </c>
      <c r="K194" s="21" t="s">
        <v>861</v>
      </c>
      <c r="L194" s="103" t="s">
        <v>634</v>
      </c>
      <c r="M194" s="105">
        <v>4</v>
      </c>
      <c r="N194" s="101" t="s">
        <v>135</v>
      </c>
      <c r="O194" s="29">
        <v>8</v>
      </c>
      <c r="P194" s="101">
        <v>8</v>
      </c>
      <c r="Q194" s="101">
        <v>238</v>
      </c>
      <c r="R194" s="101">
        <v>0.43</v>
      </c>
      <c r="S194" s="101">
        <v>93.4</v>
      </c>
      <c r="T194" s="104" t="s">
        <v>31</v>
      </c>
      <c r="U194" s="104" t="s">
        <v>32</v>
      </c>
      <c r="V194" s="29" t="s">
        <v>640</v>
      </c>
      <c r="W194" s="29" t="s">
        <v>258</v>
      </c>
      <c r="X194" s="29"/>
      <c r="Y194" s="29"/>
      <c r="Z194" s="32" t="s">
        <v>696</v>
      </c>
      <c r="AA194" s="33">
        <v>45867</v>
      </c>
      <c r="AB194" s="32" t="s">
        <v>573</v>
      </c>
      <c r="AC194" s="30"/>
    </row>
    <row r="195" spans="1:29" ht="13.8" thickBot="1" x14ac:dyDescent="0.3">
      <c r="A195" s="100"/>
      <c r="B195" s="101"/>
      <c r="C195" s="101"/>
      <c r="D195" s="101"/>
      <c r="E195" s="102"/>
      <c r="F195" s="29"/>
      <c r="G195" s="101"/>
      <c r="H195" s="101"/>
      <c r="I195" s="101"/>
      <c r="J195" s="101"/>
      <c r="K195" s="31">
        <v>0</v>
      </c>
      <c r="L195" s="29"/>
      <c r="M195" s="29"/>
      <c r="N195" s="101"/>
      <c r="O195" s="29"/>
      <c r="P195" s="101"/>
      <c r="Q195" s="101"/>
      <c r="R195" s="101"/>
      <c r="S195" s="101"/>
      <c r="T195" s="104"/>
      <c r="U195" s="104"/>
      <c r="V195" s="29"/>
      <c r="W195" s="29"/>
      <c r="X195" s="29"/>
      <c r="Y195" s="29"/>
      <c r="Z195" s="29"/>
      <c r="AA195" s="29"/>
      <c r="AB195" s="29"/>
      <c r="AC195" s="30"/>
    </row>
    <row r="196" spans="1:29" ht="13.8" thickBot="1" x14ac:dyDescent="0.3">
      <c r="A196" s="100" t="s">
        <v>29</v>
      </c>
      <c r="B196" s="101" t="s">
        <v>33</v>
      </c>
      <c r="C196" s="101" t="s">
        <v>618</v>
      </c>
      <c r="D196" s="101" t="s">
        <v>617</v>
      </c>
      <c r="E196" s="102">
        <v>45867.018055555556</v>
      </c>
      <c r="F196" s="29" t="s">
        <v>642</v>
      </c>
      <c r="G196" s="101" t="s">
        <v>616</v>
      </c>
      <c r="H196" s="101" t="s">
        <v>615</v>
      </c>
      <c r="I196" s="101" t="s">
        <v>635</v>
      </c>
      <c r="J196" s="101" t="s">
        <v>614</v>
      </c>
      <c r="K196" s="31" t="s">
        <v>928</v>
      </c>
      <c r="L196" s="103" t="s">
        <v>196</v>
      </c>
      <c r="M196" s="105">
        <v>5</v>
      </c>
      <c r="N196" s="101" t="s">
        <v>55</v>
      </c>
      <c r="O196" s="29">
        <v>44</v>
      </c>
      <c r="P196" s="101">
        <v>44</v>
      </c>
      <c r="Q196" s="101">
        <v>1022</v>
      </c>
      <c r="R196" s="101">
        <v>1.96</v>
      </c>
      <c r="S196" s="101">
        <v>404.5</v>
      </c>
      <c r="T196" s="104" t="s">
        <v>31</v>
      </c>
      <c r="U196" s="104" t="s">
        <v>32</v>
      </c>
      <c r="V196" s="29" t="s">
        <v>640</v>
      </c>
      <c r="W196" s="29" t="s">
        <v>258</v>
      </c>
      <c r="X196" s="29"/>
      <c r="Y196" s="29"/>
      <c r="Z196" s="32" t="s">
        <v>697</v>
      </c>
      <c r="AA196" s="33">
        <v>45866</v>
      </c>
      <c r="AB196" s="32" t="s">
        <v>575</v>
      </c>
      <c r="AC196" s="30"/>
    </row>
    <row r="197" spans="1:29" ht="13.8" thickBot="1" x14ac:dyDescent="0.3">
      <c r="A197" s="39"/>
      <c r="B197" s="29"/>
      <c r="C197" s="29"/>
      <c r="D197" s="29"/>
      <c r="E197" s="29"/>
      <c r="F197" s="29"/>
      <c r="G197" s="29"/>
      <c r="H197" s="29"/>
      <c r="I197" s="29"/>
      <c r="J197" s="29"/>
      <c r="K197" s="31">
        <v>0</v>
      </c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30"/>
    </row>
    <row r="198" spans="1:29" ht="14.25" customHeight="1" thickBot="1" x14ac:dyDescent="0.3">
      <c r="A198" s="40" t="s">
        <v>29</v>
      </c>
      <c r="B198" s="32" t="s">
        <v>674</v>
      </c>
      <c r="C198" s="32" t="s">
        <v>673</v>
      </c>
      <c r="D198" s="32" t="s">
        <v>672</v>
      </c>
      <c r="E198" s="41">
        <v>45867.631249999999</v>
      </c>
      <c r="F198" s="29" t="s">
        <v>652</v>
      </c>
      <c r="G198" s="32" t="s">
        <v>671</v>
      </c>
      <c r="H198" s="32" t="s">
        <v>676</v>
      </c>
      <c r="I198" s="32" t="s">
        <v>675</v>
      </c>
      <c r="J198" s="32" t="s">
        <v>668</v>
      </c>
      <c r="K198" s="31" t="s">
        <v>929</v>
      </c>
      <c r="L198" s="37" t="s">
        <v>46</v>
      </c>
      <c r="M198" s="37" t="s">
        <v>967</v>
      </c>
      <c r="N198" s="32" t="s">
        <v>265</v>
      </c>
      <c r="O198" s="32">
        <v>71</v>
      </c>
      <c r="P198" s="32">
        <v>35</v>
      </c>
      <c r="Q198" s="32">
        <v>500</v>
      </c>
      <c r="R198" s="32">
        <v>3.05</v>
      </c>
      <c r="S198" s="32">
        <v>353.9</v>
      </c>
      <c r="T198" s="32" t="s">
        <v>31</v>
      </c>
      <c r="U198" s="32" t="s">
        <v>32</v>
      </c>
      <c r="V198" s="29" t="s">
        <v>640</v>
      </c>
      <c r="W198" s="29" t="s">
        <v>258</v>
      </c>
      <c r="X198" s="32"/>
      <c r="Y198" s="32" t="s">
        <v>159</v>
      </c>
      <c r="Z198" s="32" t="s">
        <v>698</v>
      </c>
      <c r="AA198" s="33">
        <v>45868</v>
      </c>
      <c r="AB198" s="32" t="s">
        <v>573</v>
      </c>
      <c r="AC198" s="30"/>
    </row>
    <row r="199" spans="1:29" ht="13.8" thickBot="1" x14ac:dyDescent="0.3">
      <c r="A199" s="40" t="s">
        <v>29</v>
      </c>
      <c r="B199" s="32" t="s">
        <v>674</v>
      </c>
      <c r="C199" s="32" t="s">
        <v>673</v>
      </c>
      <c r="D199" s="32" t="s">
        <v>672</v>
      </c>
      <c r="E199" s="41">
        <v>45867.631249999999</v>
      </c>
      <c r="F199" s="29" t="s">
        <v>652</v>
      </c>
      <c r="G199" s="32" t="s">
        <v>671</v>
      </c>
      <c r="H199" s="32" t="s">
        <v>670</v>
      </c>
      <c r="I199" s="32" t="s">
        <v>669</v>
      </c>
      <c r="J199" s="32" t="s">
        <v>668</v>
      </c>
      <c r="K199" s="31" t="s">
        <v>929</v>
      </c>
      <c r="L199" s="37" t="s">
        <v>191</v>
      </c>
      <c r="M199" s="37" t="s">
        <v>968</v>
      </c>
      <c r="N199" s="32" t="s">
        <v>265</v>
      </c>
      <c r="O199" s="32">
        <v>71</v>
      </c>
      <c r="P199" s="32">
        <v>36</v>
      </c>
      <c r="Q199" s="32">
        <v>502</v>
      </c>
      <c r="R199" s="32">
        <v>3.14</v>
      </c>
      <c r="S199" s="32">
        <v>356.62</v>
      </c>
      <c r="T199" s="32" t="s">
        <v>31</v>
      </c>
      <c r="U199" s="32" t="s">
        <v>32</v>
      </c>
      <c r="V199" s="29" t="s">
        <v>640</v>
      </c>
      <c r="W199" s="29" t="s">
        <v>258</v>
      </c>
      <c r="X199" s="32"/>
      <c r="Y199" s="32" t="s">
        <v>159</v>
      </c>
      <c r="Z199" s="32" t="s">
        <v>159</v>
      </c>
      <c r="AA199" s="29"/>
      <c r="AB199" s="29"/>
      <c r="AC199" s="30"/>
    </row>
    <row r="200" spans="1:29" ht="13.8" thickBot="1" x14ac:dyDescent="0.3">
      <c r="A200" s="39"/>
      <c r="B200" s="29"/>
      <c r="C200" s="29"/>
      <c r="D200" s="29"/>
      <c r="E200" s="29"/>
      <c r="F200" s="29"/>
      <c r="G200" s="29"/>
      <c r="H200" s="29"/>
      <c r="I200" s="29"/>
      <c r="J200" s="29"/>
      <c r="K200" s="31">
        <v>0</v>
      </c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30"/>
    </row>
    <row r="201" spans="1:29" ht="13.8" thickBot="1" x14ac:dyDescent="0.3">
      <c r="A201" s="40" t="s">
        <v>29</v>
      </c>
      <c r="B201" s="32" t="s">
        <v>41</v>
      </c>
      <c r="C201" s="32" t="s">
        <v>667</v>
      </c>
      <c r="D201" s="32" t="s">
        <v>666</v>
      </c>
      <c r="E201" s="41">
        <v>45867.822916666672</v>
      </c>
      <c r="F201" s="29" t="s">
        <v>652</v>
      </c>
      <c r="G201" s="32" t="s">
        <v>651</v>
      </c>
      <c r="H201" s="32" t="s">
        <v>665</v>
      </c>
      <c r="I201" s="32" t="s">
        <v>664</v>
      </c>
      <c r="J201" s="32" t="s">
        <v>663</v>
      </c>
      <c r="K201" s="31" t="s">
        <v>930</v>
      </c>
      <c r="L201" s="32" t="s">
        <v>662</v>
      </c>
      <c r="M201" s="32">
        <v>8</v>
      </c>
      <c r="N201" s="32" t="s">
        <v>661</v>
      </c>
      <c r="O201" s="32">
        <v>54</v>
      </c>
      <c r="P201" s="32">
        <v>54</v>
      </c>
      <c r="Q201" s="32">
        <v>1014</v>
      </c>
      <c r="R201" s="32">
        <v>2.69</v>
      </c>
      <c r="S201" s="32">
        <v>514.91999999999996</v>
      </c>
      <c r="T201" s="32" t="s">
        <v>31</v>
      </c>
      <c r="U201" s="32" t="s">
        <v>32</v>
      </c>
      <c r="V201" s="29" t="s">
        <v>640</v>
      </c>
      <c r="W201" s="29" t="s">
        <v>258</v>
      </c>
      <c r="X201" s="29"/>
      <c r="Y201" s="29"/>
      <c r="Z201" s="32" t="s">
        <v>699</v>
      </c>
      <c r="AA201" s="33">
        <v>45868</v>
      </c>
      <c r="AB201" s="32" t="s">
        <v>575</v>
      </c>
      <c r="AC201" s="30"/>
    </row>
    <row r="202" spans="1:29" ht="13.8" thickBot="1" x14ac:dyDescent="0.3">
      <c r="A202" s="40"/>
      <c r="B202" s="32"/>
      <c r="C202" s="32"/>
      <c r="D202" s="32"/>
      <c r="E202" s="41"/>
      <c r="F202" s="29"/>
      <c r="G202" s="32"/>
      <c r="H202" s="32"/>
      <c r="I202" s="32"/>
      <c r="J202" s="32"/>
      <c r="K202" s="31">
        <v>0</v>
      </c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29"/>
      <c r="W202" s="29"/>
      <c r="X202" s="29"/>
      <c r="Y202" s="29"/>
      <c r="Z202" s="29"/>
      <c r="AA202" s="29"/>
      <c r="AB202" s="29"/>
      <c r="AC202" s="30"/>
    </row>
    <row r="203" spans="1:29" ht="13.8" thickBot="1" x14ac:dyDescent="0.3">
      <c r="A203" s="40" t="s">
        <v>29</v>
      </c>
      <c r="B203" s="32" t="s">
        <v>41</v>
      </c>
      <c r="C203" s="32" t="s">
        <v>660</v>
      </c>
      <c r="D203" s="32" t="s">
        <v>659</v>
      </c>
      <c r="E203" s="41">
        <v>45867.827083333337</v>
      </c>
      <c r="F203" s="29" t="s">
        <v>652</v>
      </c>
      <c r="G203" s="32" t="s">
        <v>651</v>
      </c>
      <c r="H203" s="32" t="s">
        <v>658</v>
      </c>
      <c r="I203" s="32" t="s">
        <v>657</v>
      </c>
      <c r="J203" s="32" t="s">
        <v>656</v>
      </c>
      <c r="K203" s="31" t="s">
        <v>931</v>
      </c>
      <c r="L203" s="32" t="s">
        <v>315</v>
      </c>
      <c r="M203" s="32">
        <v>9</v>
      </c>
      <c r="N203" s="32" t="s">
        <v>655</v>
      </c>
      <c r="O203" s="32">
        <v>65</v>
      </c>
      <c r="P203" s="32">
        <v>65</v>
      </c>
      <c r="Q203" s="32">
        <v>1104</v>
      </c>
      <c r="R203" s="32">
        <v>2.99</v>
      </c>
      <c r="S203" s="32">
        <v>575.97</v>
      </c>
      <c r="T203" s="32" t="s">
        <v>31</v>
      </c>
      <c r="U203" s="32" t="s">
        <v>32</v>
      </c>
      <c r="V203" s="29" t="s">
        <v>640</v>
      </c>
      <c r="W203" s="29" t="s">
        <v>258</v>
      </c>
      <c r="X203" s="29"/>
      <c r="Y203" s="29"/>
      <c r="Z203" s="32" t="s">
        <v>700</v>
      </c>
      <c r="AA203" s="33">
        <v>45868</v>
      </c>
      <c r="AB203" s="32" t="s">
        <v>575</v>
      </c>
      <c r="AC203" s="30"/>
    </row>
    <row r="204" spans="1:29" ht="13.8" thickBot="1" x14ac:dyDescent="0.3">
      <c r="A204" s="40"/>
      <c r="B204" s="32"/>
      <c r="C204" s="32"/>
      <c r="D204" s="32"/>
      <c r="E204" s="41"/>
      <c r="F204" s="29"/>
      <c r="G204" s="32"/>
      <c r="H204" s="32"/>
      <c r="I204" s="32"/>
      <c r="J204" s="32"/>
      <c r="K204" s="31">
        <v>0</v>
      </c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29"/>
      <c r="W204" s="29"/>
      <c r="X204" s="29"/>
      <c r="Y204" s="29"/>
      <c r="Z204" s="29"/>
      <c r="AA204" s="29"/>
      <c r="AB204" s="29"/>
      <c r="AC204" s="30"/>
    </row>
    <row r="205" spans="1:29" ht="13.8" thickBot="1" x14ac:dyDescent="0.3">
      <c r="A205" s="40" t="s">
        <v>29</v>
      </c>
      <c r="B205" s="32" t="s">
        <v>41</v>
      </c>
      <c r="C205" s="32" t="s">
        <v>654</v>
      </c>
      <c r="D205" s="32" t="s">
        <v>653</v>
      </c>
      <c r="E205" s="41">
        <v>45867.825694444444</v>
      </c>
      <c r="F205" s="29" t="s">
        <v>652</v>
      </c>
      <c r="G205" s="32" t="s">
        <v>651</v>
      </c>
      <c r="H205" s="32" t="s">
        <v>650</v>
      </c>
      <c r="I205" s="32" t="s">
        <v>649</v>
      </c>
      <c r="J205" s="32" t="s">
        <v>648</v>
      </c>
      <c r="K205" s="31" t="s">
        <v>932</v>
      </c>
      <c r="L205" s="32" t="s">
        <v>647</v>
      </c>
      <c r="M205" s="32">
        <v>10</v>
      </c>
      <c r="N205" s="32" t="s">
        <v>646</v>
      </c>
      <c r="O205" s="32">
        <v>55</v>
      </c>
      <c r="P205" s="32">
        <v>55</v>
      </c>
      <c r="Q205" s="32">
        <v>1016</v>
      </c>
      <c r="R205" s="32">
        <v>2.75</v>
      </c>
      <c r="S205" s="32">
        <v>516.41</v>
      </c>
      <c r="T205" s="32" t="s">
        <v>31</v>
      </c>
      <c r="U205" s="32" t="s">
        <v>32</v>
      </c>
      <c r="V205" s="29" t="s">
        <v>640</v>
      </c>
      <c r="W205" s="29" t="s">
        <v>258</v>
      </c>
      <c r="X205" s="29"/>
      <c r="Y205" s="29"/>
      <c r="Z205" s="32">
        <v>225896</v>
      </c>
      <c r="AA205" s="33">
        <v>45868</v>
      </c>
      <c r="AB205" s="32" t="s">
        <v>575</v>
      </c>
      <c r="AC205" s="30"/>
    </row>
    <row r="206" spans="1:29" ht="13.8" thickBot="1" x14ac:dyDescent="0.3">
      <c r="A206" s="39"/>
      <c r="B206" s="29"/>
      <c r="C206" s="29"/>
      <c r="D206" s="29"/>
      <c r="E206" s="29"/>
      <c r="F206" s="29"/>
      <c r="G206" s="29"/>
      <c r="H206" s="29"/>
      <c r="I206" s="29"/>
      <c r="J206" s="29"/>
      <c r="K206" s="31">
        <v>0</v>
      </c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30"/>
    </row>
    <row r="207" spans="1:29" ht="13.8" thickBot="1" x14ac:dyDescent="0.3">
      <c r="A207" s="73" t="s">
        <v>29</v>
      </c>
      <c r="B207" s="52" t="s">
        <v>34</v>
      </c>
      <c r="C207" s="52" t="s">
        <v>706</v>
      </c>
      <c r="D207" s="52" t="s">
        <v>705</v>
      </c>
      <c r="E207" s="51">
        <v>45868.879166666666</v>
      </c>
      <c r="F207" s="83" t="s">
        <v>704</v>
      </c>
      <c r="G207" s="52" t="s">
        <v>374</v>
      </c>
      <c r="H207" s="52" t="s">
        <v>703</v>
      </c>
      <c r="I207" s="52" t="s">
        <v>376</v>
      </c>
      <c r="J207" s="52" t="s">
        <v>702</v>
      </c>
      <c r="K207" s="31" t="s">
        <v>933</v>
      </c>
      <c r="L207" s="52" t="s">
        <v>701</v>
      </c>
      <c r="M207" s="52">
        <v>11</v>
      </c>
      <c r="N207" s="52" t="s">
        <v>378</v>
      </c>
      <c r="O207" s="52">
        <v>62</v>
      </c>
      <c r="P207" s="52">
        <v>62</v>
      </c>
      <c r="Q207" s="52">
        <v>1024</v>
      </c>
      <c r="R207" s="52">
        <v>3.17</v>
      </c>
      <c r="S207" s="52">
        <v>789.63</v>
      </c>
      <c r="T207" s="52" t="s">
        <v>31</v>
      </c>
      <c r="U207" s="32" t="s">
        <v>32</v>
      </c>
      <c r="V207" s="29" t="s">
        <v>640</v>
      </c>
      <c r="W207" s="52" t="s">
        <v>258</v>
      </c>
      <c r="X207" s="29"/>
      <c r="Y207" s="29"/>
      <c r="Z207" s="32">
        <v>1451599</v>
      </c>
      <c r="AA207" s="33">
        <v>45870</v>
      </c>
      <c r="AB207" s="32" t="s">
        <v>573</v>
      </c>
      <c r="AC207" s="30"/>
    </row>
    <row r="208" spans="1:29" ht="13.8" thickBot="1" x14ac:dyDescent="0.3">
      <c r="A208" s="39"/>
      <c r="B208" s="29"/>
      <c r="C208" s="29"/>
      <c r="D208" s="29"/>
      <c r="E208" s="29"/>
      <c r="F208" s="29"/>
      <c r="G208" s="29"/>
      <c r="H208" s="29"/>
      <c r="I208" s="29"/>
      <c r="J208" s="29"/>
      <c r="K208" s="31">
        <v>0</v>
      </c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30"/>
    </row>
    <row r="209" spans="1:29" ht="13.8" thickBot="1" x14ac:dyDescent="0.3">
      <c r="A209" s="73" t="s">
        <v>29</v>
      </c>
      <c r="B209" s="52" t="s">
        <v>821</v>
      </c>
      <c r="C209" s="52" t="s">
        <v>756</v>
      </c>
      <c r="D209" s="52" t="s">
        <v>755</v>
      </c>
      <c r="E209" s="51">
        <v>45868.52847222222</v>
      </c>
      <c r="F209" s="83" t="s">
        <v>734</v>
      </c>
      <c r="G209" s="52" t="s">
        <v>754</v>
      </c>
      <c r="H209" s="52" t="s">
        <v>759</v>
      </c>
      <c r="I209" s="52" t="s">
        <v>758</v>
      </c>
      <c r="J209" s="52" t="s">
        <v>751</v>
      </c>
      <c r="K209" s="31" t="s">
        <v>934</v>
      </c>
      <c r="L209" s="106" t="s">
        <v>192</v>
      </c>
      <c r="M209" s="107">
        <v>12</v>
      </c>
      <c r="N209" s="52" t="s">
        <v>757</v>
      </c>
      <c r="O209" s="52">
        <v>106</v>
      </c>
      <c r="P209" s="52">
        <v>53</v>
      </c>
      <c r="Q209" s="52">
        <v>1008</v>
      </c>
      <c r="R209" s="52">
        <v>2.62</v>
      </c>
      <c r="S209" s="52">
        <v>624.29999999999995</v>
      </c>
      <c r="T209" s="52" t="s">
        <v>31</v>
      </c>
      <c r="U209" s="32" t="s">
        <v>32</v>
      </c>
      <c r="V209" s="29" t="s">
        <v>640</v>
      </c>
      <c r="W209" s="52" t="s">
        <v>258</v>
      </c>
      <c r="X209" s="29"/>
      <c r="Y209" s="29"/>
      <c r="Z209" s="32" t="s">
        <v>820</v>
      </c>
      <c r="AA209" s="33">
        <v>45871</v>
      </c>
      <c r="AB209" s="32" t="s">
        <v>573</v>
      </c>
      <c r="AC209" s="30"/>
    </row>
    <row r="210" spans="1:29" ht="15" thickBot="1" x14ac:dyDescent="0.35">
      <c r="A210" s="73" t="s">
        <v>29</v>
      </c>
      <c r="B210" s="52" t="s">
        <v>821</v>
      </c>
      <c r="C210" s="52" t="s">
        <v>756</v>
      </c>
      <c r="D210" s="52" t="s">
        <v>755</v>
      </c>
      <c r="E210" s="51">
        <v>45868.52847222222</v>
      </c>
      <c r="F210" s="83" t="s">
        <v>734</v>
      </c>
      <c r="G210" s="52" t="s">
        <v>754</v>
      </c>
      <c r="H210" s="52" t="s">
        <v>753</v>
      </c>
      <c r="I210" s="52" t="s">
        <v>752</v>
      </c>
      <c r="J210" s="52" t="s">
        <v>751</v>
      </c>
      <c r="K210" s="31" t="s">
        <v>934</v>
      </c>
      <c r="L210" s="108" t="s">
        <v>750</v>
      </c>
      <c r="M210" s="108">
        <v>13</v>
      </c>
      <c r="N210" s="52" t="s">
        <v>543</v>
      </c>
      <c r="O210" s="52">
        <v>106</v>
      </c>
      <c r="P210" s="52">
        <v>53</v>
      </c>
      <c r="Q210" s="52">
        <v>1013</v>
      </c>
      <c r="R210" s="52">
        <v>2.73</v>
      </c>
      <c r="S210" s="52">
        <v>624.29999999999995</v>
      </c>
      <c r="T210" s="52" t="s">
        <v>31</v>
      </c>
      <c r="U210" s="32" t="s">
        <v>32</v>
      </c>
      <c r="V210" s="29" t="s">
        <v>640</v>
      </c>
      <c r="W210" s="109" t="s">
        <v>234</v>
      </c>
      <c r="X210" s="29"/>
      <c r="Y210" s="29"/>
      <c r="Z210" s="29"/>
      <c r="AA210" s="29"/>
      <c r="AB210" s="29"/>
      <c r="AC210" s="30"/>
    </row>
    <row r="211" spans="1:29" ht="13.8" thickBot="1" x14ac:dyDescent="0.3">
      <c r="A211" s="39"/>
      <c r="B211" s="29"/>
      <c r="C211" s="29"/>
      <c r="D211" s="29"/>
      <c r="E211" s="29"/>
      <c r="F211" s="29"/>
      <c r="G211" s="29"/>
      <c r="H211" s="29"/>
      <c r="I211" s="29"/>
      <c r="J211" s="29"/>
      <c r="K211" s="31">
        <v>0</v>
      </c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30"/>
    </row>
    <row r="212" spans="1:29" ht="13.8" thickBot="1" x14ac:dyDescent="0.3">
      <c r="A212" s="73" t="s">
        <v>29</v>
      </c>
      <c r="B212" s="52" t="s">
        <v>38</v>
      </c>
      <c r="C212" s="52" t="s">
        <v>780</v>
      </c>
      <c r="D212" s="52" t="s">
        <v>779</v>
      </c>
      <c r="E212" s="51">
        <v>45868.659722222219</v>
      </c>
      <c r="F212" s="83" t="s">
        <v>734</v>
      </c>
      <c r="G212" s="52" t="s">
        <v>784</v>
      </c>
      <c r="H212" s="52" t="s">
        <v>783</v>
      </c>
      <c r="I212" s="52" t="s">
        <v>782</v>
      </c>
      <c r="J212" s="52" t="s">
        <v>776</v>
      </c>
      <c r="K212" s="31" t="s">
        <v>935</v>
      </c>
      <c r="L212" s="37" t="s">
        <v>781</v>
      </c>
      <c r="M212" s="37" t="s">
        <v>966</v>
      </c>
      <c r="N212" s="52" t="s">
        <v>396</v>
      </c>
      <c r="O212" s="52">
        <v>137</v>
      </c>
      <c r="P212" s="52">
        <v>93</v>
      </c>
      <c r="Q212" s="52">
        <v>1555</v>
      </c>
      <c r="R212" s="52">
        <v>6.75</v>
      </c>
      <c r="S212" s="52">
        <v>1288.22</v>
      </c>
      <c r="T212" s="52" t="s">
        <v>31</v>
      </c>
      <c r="U212" s="32" t="s">
        <v>32</v>
      </c>
      <c r="V212" s="29" t="s">
        <v>640</v>
      </c>
      <c r="W212" s="52" t="s">
        <v>258</v>
      </c>
      <c r="X212" s="52"/>
      <c r="Y212" s="52"/>
      <c r="Z212" s="32" t="s">
        <v>818</v>
      </c>
      <c r="AA212" s="33">
        <v>45871</v>
      </c>
      <c r="AB212" s="32" t="s">
        <v>573</v>
      </c>
      <c r="AC212" s="30"/>
    </row>
    <row r="213" spans="1:29" ht="13.8" thickBot="1" x14ac:dyDescent="0.3">
      <c r="A213" s="73" t="s">
        <v>29</v>
      </c>
      <c r="B213" s="52" t="s">
        <v>38</v>
      </c>
      <c r="C213" s="52" t="s">
        <v>780</v>
      </c>
      <c r="D213" s="52" t="s">
        <v>779</v>
      </c>
      <c r="E213" s="51">
        <v>45868.659722222219</v>
      </c>
      <c r="F213" s="83" t="s">
        <v>734</v>
      </c>
      <c r="G213" s="52" t="s">
        <v>392</v>
      </c>
      <c r="H213" s="52" t="s">
        <v>778</v>
      </c>
      <c r="I213" s="52" t="s">
        <v>777</v>
      </c>
      <c r="J213" s="52" t="s">
        <v>776</v>
      </c>
      <c r="K213" s="31" t="s">
        <v>935</v>
      </c>
      <c r="L213" s="37" t="s">
        <v>196</v>
      </c>
      <c r="M213" s="37" t="s">
        <v>955</v>
      </c>
      <c r="N213" s="52" t="s">
        <v>396</v>
      </c>
      <c r="O213" s="52">
        <v>137</v>
      </c>
      <c r="P213" s="52">
        <v>44</v>
      </c>
      <c r="Q213" s="52">
        <v>685</v>
      </c>
      <c r="R213" s="52">
        <v>3.19</v>
      </c>
      <c r="S213" s="52">
        <v>609.48</v>
      </c>
      <c r="T213" s="52" t="s">
        <v>31</v>
      </c>
      <c r="U213" s="32" t="s">
        <v>32</v>
      </c>
      <c r="V213" s="29" t="s">
        <v>640</v>
      </c>
      <c r="W213" s="52" t="s">
        <v>258</v>
      </c>
      <c r="X213" s="52"/>
      <c r="Y213" s="52"/>
      <c r="Z213" s="52"/>
      <c r="AA213" s="29"/>
      <c r="AB213" s="29"/>
      <c r="AC213" s="30"/>
    </row>
    <row r="214" spans="1:29" ht="13.8" thickBot="1" x14ac:dyDescent="0.3">
      <c r="A214" s="39"/>
      <c r="B214" s="29"/>
      <c r="C214" s="29"/>
      <c r="D214" s="29"/>
      <c r="E214" s="29"/>
      <c r="F214" s="29"/>
      <c r="G214" s="29"/>
      <c r="H214" s="29"/>
      <c r="I214" s="29"/>
      <c r="J214" s="29"/>
      <c r="K214" s="31">
        <v>0</v>
      </c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30"/>
    </row>
    <row r="215" spans="1:29" ht="13.8" thickBot="1" x14ac:dyDescent="0.3">
      <c r="A215" s="73" t="s">
        <v>29</v>
      </c>
      <c r="B215" s="52" t="s">
        <v>38</v>
      </c>
      <c r="C215" s="52" t="s">
        <v>802</v>
      </c>
      <c r="D215" s="52" t="s">
        <v>801</v>
      </c>
      <c r="E215" s="51">
        <v>45868.65625</v>
      </c>
      <c r="F215" s="83" t="s">
        <v>734</v>
      </c>
      <c r="G215" s="52" t="s">
        <v>809</v>
      </c>
      <c r="H215" s="52" t="s">
        <v>808</v>
      </c>
      <c r="I215" s="52" t="s">
        <v>798</v>
      </c>
      <c r="J215" s="52" t="s">
        <v>797</v>
      </c>
      <c r="K215" s="31" t="s">
        <v>936</v>
      </c>
      <c r="L215" s="37" t="s">
        <v>99</v>
      </c>
      <c r="M215" s="37" t="s">
        <v>956</v>
      </c>
      <c r="N215" s="52" t="s">
        <v>396</v>
      </c>
      <c r="O215" s="52">
        <v>143</v>
      </c>
      <c r="P215" s="52">
        <v>60</v>
      </c>
      <c r="Q215" s="52">
        <v>4197</v>
      </c>
      <c r="R215" s="52">
        <v>4.3600000000000003</v>
      </c>
      <c r="S215" s="52">
        <v>774.5</v>
      </c>
      <c r="T215" s="52" t="s">
        <v>31</v>
      </c>
      <c r="U215" s="32" t="s">
        <v>32</v>
      </c>
      <c r="V215" s="29" t="s">
        <v>640</v>
      </c>
      <c r="W215" s="52" t="s">
        <v>258</v>
      </c>
      <c r="X215" s="52"/>
      <c r="Y215" s="52"/>
      <c r="Z215" s="32" t="s">
        <v>816</v>
      </c>
      <c r="AA215" s="33">
        <v>45871</v>
      </c>
      <c r="AB215" s="32" t="s">
        <v>573</v>
      </c>
      <c r="AC215" s="30"/>
    </row>
    <row r="216" spans="1:29" ht="13.8" thickBot="1" x14ac:dyDescent="0.3">
      <c r="A216" s="73" t="s">
        <v>29</v>
      </c>
      <c r="B216" s="52" t="s">
        <v>38</v>
      </c>
      <c r="C216" s="52" t="s">
        <v>802</v>
      </c>
      <c r="D216" s="52" t="s">
        <v>801</v>
      </c>
      <c r="E216" s="51">
        <v>45868.65625</v>
      </c>
      <c r="F216" s="83" t="s">
        <v>734</v>
      </c>
      <c r="G216" s="52" t="s">
        <v>807</v>
      </c>
      <c r="H216" s="52" t="s">
        <v>806</v>
      </c>
      <c r="I216" s="52" t="s">
        <v>798</v>
      </c>
      <c r="J216" s="52" t="s">
        <v>797</v>
      </c>
      <c r="K216" s="31" t="s">
        <v>936</v>
      </c>
      <c r="L216" s="37" t="s">
        <v>196</v>
      </c>
      <c r="M216" s="37" t="s">
        <v>969</v>
      </c>
      <c r="N216" s="52" t="s">
        <v>396</v>
      </c>
      <c r="O216" s="52">
        <v>143</v>
      </c>
      <c r="P216" s="52">
        <v>44</v>
      </c>
      <c r="Q216" s="52">
        <v>3008</v>
      </c>
      <c r="R216" s="52">
        <v>3.19</v>
      </c>
      <c r="S216" s="52">
        <v>557.66999999999996</v>
      </c>
      <c r="T216" s="52" t="s">
        <v>31</v>
      </c>
      <c r="U216" s="32" t="s">
        <v>32</v>
      </c>
      <c r="V216" s="29" t="s">
        <v>640</v>
      </c>
      <c r="W216" s="52" t="s">
        <v>258</v>
      </c>
      <c r="X216" s="52"/>
      <c r="Y216" s="52"/>
      <c r="Z216" s="52"/>
      <c r="AA216" s="29"/>
      <c r="AB216" s="29"/>
      <c r="AC216" s="30"/>
    </row>
    <row r="217" spans="1:29" ht="13.8" thickBot="1" x14ac:dyDescent="0.3">
      <c r="A217" s="73" t="s">
        <v>29</v>
      </c>
      <c r="B217" s="52" t="s">
        <v>38</v>
      </c>
      <c r="C217" s="52" t="s">
        <v>802</v>
      </c>
      <c r="D217" s="52" t="s">
        <v>801</v>
      </c>
      <c r="E217" s="51">
        <v>45868.65625</v>
      </c>
      <c r="F217" s="83" t="s">
        <v>734</v>
      </c>
      <c r="G217" s="52" t="s">
        <v>805</v>
      </c>
      <c r="H217" s="52" t="s">
        <v>804</v>
      </c>
      <c r="I217" s="52" t="s">
        <v>798</v>
      </c>
      <c r="J217" s="52" t="s">
        <v>797</v>
      </c>
      <c r="K217" s="31" t="s">
        <v>936</v>
      </c>
      <c r="L217" s="37" t="s">
        <v>803</v>
      </c>
      <c r="M217" s="37" t="s">
        <v>970</v>
      </c>
      <c r="N217" s="52" t="s">
        <v>396</v>
      </c>
      <c r="O217" s="52">
        <v>143</v>
      </c>
      <c r="P217" s="52">
        <v>20</v>
      </c>
      <c r="Q217" s="52">
        <v>1046</v>
      </c>
      <c r="R217" s="52">
        <v>1.45</v>
      </c>
      <c r="S217" s="52">
        <v>216.6</v>
      </c>
      <c r="T217" s="52" t="s">
        <v>31</v>
      </c>
      <c r="U217" s="32" t="s">
        <v>32</v>
      </c>
      <c r="V217" s="29" t="s">
        <v>640</v>
      </c>
      <c r="W217" s="52" t="s">
        <v>258</v>
      </c>
      <c r="X217" s="52"/>
      <c r="Y217" s="52"/>
      <c r="Z217" s="52"/>
      <c r="AA217" s="29"/>
      <c r="AB217" s="29"/>
      <c r="AC217" s="30"/>
    </row>
    <row r="218" spans="1:29" ht="13.8" thickBot="1" x14ac:dyDescent="0.3">
      <c r="A218" s="73" t="s">
        <v>29</v>
      </c>
      <c r="B218" s="52" t="s">
        <v>38</v>
      </c>
      <c r="C218" s="52" t="s">
        <v>802</v>
      </c>
      <c r="D218" s="52" t="s">
        <v>801</v>
      </c>
      <c r="E218" s="51">
        <v>45868.65625</v>
      </c>
      <c r="F218" s="83" t="s">
        <v>734</v>
      </c>
      <c r="G218" s="52" t="s">
        <v>800</v>
      </c>
      <c r="H218" s="52" t="s">
        <v>799</v>
      </c>
      <c r="I218" s="52" t="s">
        <v>798</v>
      </c>
      <c r="J218" s="52" t="s">
        <v>797</v>
      </c>
      <c r="K218" s="31" t="s">
        <v>936</v>
      </c>
      <c r="L218" s="37" t="s">
        <v>124</v>
      </c>
      <c r="M218" s="37" t="s">
        <v>971</v>
      </c>
      <c r="N218" s="52" t="s">
        <v>396</v>
      </c>
      <c r="O218" s="52">
        <v>143</v>
      </c>
      <c r="P218" s="52">
        <v>19</v>
      </c>
      <c r="Q218" s="52">
        <v>1046</v>
      </c>
      <c r="R218" s="52">
        <v>1.38</v>
      </c>
      <c r="S218" s="52">
        <v>205.65</v>
      </c>
      <c r="T218" s="52" t="s">
        <v>31</v>
      </c>
      <c r="U218" s="32" t="s">
        <v>32</v>
      </c>
      <c r="V218" s="29" t="s">
        <v>640</v>
      </c>
      <c r="W218" s="52" t="s">
        <v>258</v>
      </c>
      <c r="X218" s="52"/>
      <c r="Y218" s="52"/>
      <c r="Z218" s="52"/>
      <c r="AA218" s="29"/>
      <c r="AB218" s="29"/>
      <c r="AC218" s="30"/>
    </row>
    <row r="219" spans="1:29" ht="13.8" thickBot="1" x14ac:dyDescent="0.3">
      <c r="A219" s="39"/>
      <c r="B219" s="29"/>
      <c r="C219" s="29"/>
      <c r="D219" s="29"/>
      <c r="E219" s="29"/>
      <c r="F219" s="29"/>
      <c r="G219" s="29"/>
      <c r="H219" s="29"/>
      <c r="I219" s="29"/>
      <c r="J219" s="29"/>
      <c r="K219" s="31">
        <v>0</v>
      </c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30"/>
    </row>
    <row r="220" spans="1:29" x14ac:dyDescent="0.25">
      <c r="A220" s="73" t="s">
        <v>29</v>
      </c>
      <c r="B220" s="52" t="s">
        <v>38</v>
      </c>
      <c r="C220" s="52" t="s">
        <v>815</v>
      </c>
      <c r="D220" s="52" t="s">
        <v>814</v>
      </c>
      <c r="E220" s="51">
        <v>45868.655555555553</v>
      </c>
      <c r="F220" s="83" t="s">
        <v>734</v>
      </c>
      <c r="G220" s="52" t="s">
        <v>813</v>
      </c>
      <c r="H220" s="52" t="s">
        <v>812</v>
      </c>
      <c r="I220" s="52" t="s">
        <v>811</v>
      </c>
      <c r="J220" s="52" t="s">
        <v>810</v>
      </c>
      <c r="K220" s="31" t="s">
        <v>937</v>
      </c>
      <c r="L220" s="37" t="s">
        <v>512</v>
      </c>
      <c r="M220" s="37" t="s">
        <v>972</v>
      </c>
      <c r="N220" s="52" t="s">
        <v>371</v>
      </c>
      <c r="O220" s="52">
        <v>11</v>
      </c>
      <c r="P220" s="52">
        <v>11</v>
      </c>
      <c r="Q220" s="52">
        <v>524</v>
      </c>
      <c r="R220" s="52">
        <v>0.72</v>
      </c>
      <c r="S220" s="52">
        <v>109.8</v>
      </c>
      <c r="T220" s="52" t="s">
        <v>31</v>
      </c>
      <c r="U220" s="32" t="s">
        <v>32</v>
      </c>
      <c r="V220" s="29" t="s">
        <v>640</v>
      </c>
      <c r="W220" s="52" t="s">
        <v>258</v>
      </c>
      <c r="X220" s="52"/>
      <c r="Y220" s="52"/>
      <c r="Z220" s="52">
        <v>1453611</v>
      </c>
      <c r="AA220" s="33">
        <v>45871</v>
      </c>
      <c r="AB220" s="32" t="s">
        <v>573</v>
      </c>
      <c r="AC220" s="30"/>
    </row>
    <row r="221" spans="1:29" ht="13.8" thickBot="1" x14ac:dyDescent="0.3">
      <c r="A221" s="79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9" t="s">
        <v>826</v>
      </c>
      <c r="P221" s="59">
        <f>SUM(P190:P220)</f>
        <v>1005</v>
      </c>
      <c r="Q221" s="59">
        <f>SUM(Q190:Q220)</f>
        <v>25304</v>
      </c>
      <c r="R221" s="59">
        <f>SUM(R190:R220)</f>
        <v>62.839999999999996</v>
      </c>
      <c r="S221" s="59">
        <f>SUM(S190:S220)</f>
        <v>11934.269999999999</v>
      </c>
      <c r="T221" s="59" t="s">
        <v>645</v>
      </c>
      <c r="U221" s="57"/>
      <c r="V221" s="57"/>
      <c r="W221" s="57"/>
      <c r="X221" s="57"/>
      <c r="Y221" s="57"/>
      <c r="Z221" s="57"/>
      <c r="AA221" s="57"/>
      <c r="AB221" s="57"/>
      <c r="AC221" s="60"/>
    </row>
    <row r="226" spans="1:29" ht="13.8" thickBot="1" x14ac:dyDescent="0.3"/>
    <row r="227" spans="1:29" ht="13.8" thickBot="1" x14ac:dyDescent="0.3">
      <c r="A227" s="6" t="s">
        <v>845</v>
      </c>
    </row>
    <row r="228" spans="1:29" ht="13.8" thickBot="1" x14ac:dyDescent="0.3">
      <c r="A228" s="7" t="s">
        <v>2</v>
      </c>
      <c r="B228" s="8" t="s">
        <v>3</v>
      </c>
      <c r="C228" s="8" t="s">
        <v>4</v>
      </c>
      <c r="D228" s="8" t="s">
        <v>5</v>
      </c>
      <c r="E228" s="8" t="s">
        <v>6</v>
      </c>
      <c r="F228" s="8" t="s">
        <v>7</v>
      </c>
      <c r="G228" s="8" t="s">
        <v>8</v>
      </c>
      <c r="H228" s="8" t="s">
        <v>9</v>
      </c>
      <c r="I228" s="8" t="s">
        <v>10</v>
      </c>
      <c r="J228" s="8" t="s">
        <v>11</v>
      </c>
      <c r="K228" s="8"/>
      <c r="L228" s="8" t="s">
        <v>12</v>
      </c>
      <c r="M228" s="8" t="s">
        <v>950</v>
      </c>
      <c r="N228" s="8" t="s">
        <v>13</v>
      </c>
      <c r="O228" s="8" t="s">
        <v>14</v>
      </c>
      <c r="P228" s="8" t="s">
        <v>15</v>
      </c>
      <c r="Q228" s="8" t="s">
        <v>16</v>
      </c>
      <c r="R228" s="8" t="s">
        <v>17</v>
      </c>
      <c r="S228" s="8" t="s">
        <v>18</v>
      </c>
      <c r="T228" s="8" t="s">
        <v>19</v>
      </c>
      <c r="U228" s="8" t="s">
        <v>20</v>
      </c>
      <c r="V228" s="8" t="s">
        <v>21</v>
      </c>
      <c r="W228" s="9" t="s">
        <v>22</v>
      </c>
      <c r="X228" s="10" t="s">
        <v>23</v>
      </c>
      <c r="Y228" s="11" t="s">
        <v>24</v>
      </c>
      <c r="Z228" s="12" t="s">
        <v>25</v>
      </c>
      <c r="AA228" s="8" t="s">
        <v>26</v>
      </c>
      <c r="AB228" s="8" t="s">
        <v>27</v>
      </c>
      <c r="AC228" s="13" t="s">
        <v>28</v>
      </c>
    </row>
    <row r="229" spans="1:29" ht="13.8" thickBot="1" x14ac:dyDescent="0.3">
      <c r="A229" s="76" t="s">
        <v>29</v>
      </c>
      <c r="B229" s="77" t="s">
        <v>53</v>
      </c>
      <c r="C229" s="77" t="s">
        <v>712</v>
      </c>
      <c r="D229" s="77" t="s">
        <v>711</v>
      </c>
      <c r="E229" s="78">
        <v>45869.65</v>
      </c>
      <c r="F229" s="19" t="s">
        <v>704</v>
      </c>
      <c r="G229" s="77" t="s">
        <v>717</v>
      </c>
      <c r="H229" s="77" t="s">
        <v>716</v>
      </c>
      <c r="I229" s="77" t="s">
        <v>715</v>
      </c>
      <c r="J229" s="77" t="s">
        <v>714</v>
      </c>
      <c r="K229" s="31" t="s">
        <v>938</v>
      </c>
      <c r="L229" s="61" t="s">
        <v>713</v>
      </c>
      <c r="M229" s="61" t="s">
        <v>954</v>
      </c>
      <c r="N229" s="77" t="s">
        <v>359</v>
      </c>
      <c r="O229" s="77">
        <v>80</v>
      </c>
      <c r="P229" s="77">
        <v>49</v>
      </c>
      <c r="Q229" s="77">
        <v>857</v>
      </c>
      <c r="R229" s="77">
        <v>3.35</v>
      </c>
      <c r="S229" s="77">
        <v>1564.5</v>
      </c>
      <c r="T229" s="77" t="s">
        <v>31</v>
      </c>
      <c r="U229" s="77" t="s">
        <v>32</v>
      </c>
      <c r="V229" s="19" t="s">
        <v>640</v>
      </c>
      <c r="W229" s="77" t="s">
        <v>258</v>
      </c>
      <c r="X229" s="20" t="s">
        <v>858</v>
      </c>
      <c r="Y229" s="20" t="s">
        <v>859</v>
      </c>
      <c r="Z229" s="21">
        <v>1451252</v>
      </c>
      <c r="AA229" s="22">
        <v>45870</v>
      </c>
      <c r="AB229" s="21" t="s">
        <v>573</v>
      </c>
      <c r="AC229" s="23"/>
    </row>
    <row r="230" spans="1:29" ht="13.8" thickBot="1" x14ac:dyDescent="0.3">
      <c r="A230" s="73" t="s">
        <v>29</v>
      </c>
      <c r="B230" s="52" t="s">
        <v>53</v>
      </c>
      <c r="C230" s="52" t="s">
        <v>712</v>
      </c>
      <c r="D230" s="52" t="s">
        <v>711</v>
      </c>
      <c r="E230" s="51">
        <v>45869.65</v>
      </c>
      <c r="F230" s="29" t="s">
        <v>704</v>
      </c>
      <c r="G230" s="52" t="s">
        <v>710</v>
      </c>
      <c r="H230" s="52" t="s">
        <v>709</v>
      </c>
      <c r="I230" s="52" t="s">
        <v>708</v>
      </c>
      <c r="J230" s="52" t="s">
        <v>707</v>
      </c>
      <c r="K230" s="31" t="s">
        <v>939</v>
      </c>
      <c r="L230" s="37" t="s">
        <v>58</v>
      </c>
      <c r="M230" s="37" t="s">
        <v>957</v>
      </c>
      <c r="N230" s="52" t="s">
        <v>359</v>
      </c>
      <c r="O230" s="52">
        <v>80</v>
      </c>
      <c r="P230" s="52">
        <v>31</v>
      </c>
      <c r="Q230" s="52">
        <v>993</v>
      </c>
      <c r="R230" s="52">
        <v>2.12</v>
      </c>
      <c r="S230" s="52">
        <v>1025.9000000000001</v>
      </c>
      <c r="T230" s="52" t="s">
        <v>31</v>
      </c>
      <c r="U230" s="52" t="s">
        <v>32</v>
      </c>
      <c r="V230" s="29" t="s">
        <v>640</v>
      </c>
      <c r="W230" s="52" t="s">
        <v>258</v>
      </c>
      <c r="X230" s="29"/>
      <c r="Y230" s="29"/>
      <c r="Z230" s="29"/>
      <c r="AA230" s="29"/>
      <c r="AB230" s="29"/>
      <c r="AC230" s="30"/>
    </row>
    <row r="231" spans="1:29" ht="13.8" thickBot="1" x14ac:dyDescent="0.3">
      <c r="A231" s="39"/>
      <c r="B231" s="29"/>
      <c r="C231" s="29"/>
      <c r="D231" s="29"/>
      <c r="E231" s="29"/>
      <c r="F231" s="29"/>
      <c r="G231" s="29"/>
      <c r="H231" s="29"/>
      <c r="I231" s="29"/>
      <c r="J231" s="29"/>
      <c r="K231" s="31">
        <v>0</v>
      </c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30"/>
    </row>
    <row r="232" spans="1:29" ht="13.8" thickBot="1" x14ac:dyDescent="0.3">
      <c r="A232" s="73" t="s">
        <v>29</v>
      </c>
      <c r="B232" s="52" t="s">
        <v>304</v>
      </c>
      <c r="C232" s="52" t="s">
        <v>723</v>
      </c>
      <c r="D232" s="52" t="s">
        <v>722</v>
      </c>
      <c r="E232" s="51">
        <v>45869.833333333328</v>
      </c>
      <c r="F232" s="29" t="s">
        <v>704</v>
      </c>
      <c r="G232" s="52" t="s">
        <v>727</v>
      </c>
      <c r="H232" s="52" t="s">
        <v>726</v>
      </c>
      <c r="I232" s="52" t="s">
        <v>725</v>
      </c>
      <c r="J232" s="52" t="s">
        <v>724</v>
      </c>
      <c r="K232" s="31" t="s">
        <v>940</v>
      </c>
      <c r="L232" s="108" t="s">
        <v>221</v>
      </c>
      <c r="M232" s="108">
        <v>3</v>
      </c>
      <c r="N232" s="52" t="s">
        <v>543</v>
      </c>
      <c r="O232" s="52">
        <v>86</v>
      </c>
      <c r="P232" s="52">
        <v>43</v>
      </c>
      <c r="Q232" s="52">
        <v>1000</v>
      </c>
      <c r="R232" s="52">
        <v>2.21</v>
      </c>
      <c r="S232" s="52">
        <v>536.78</v>
      </c>
      <c r="T232" s="52" t="s">
        <v>31</v>
      </c>
      <c r="U232" s="32" t="s">
        <v>32</v>
      </c>
      <c r="V232" s="29" t="s">
        <v>640</v>
      </c>
      <c r="W232" s="52" t="s">
        <v>258</v>
      </c>
      <c r="X232" s="29"/>
      <c r="Y232" s="29"/>
      <c r="Z232" s="32">
        <v>1451211</v>
      </c>
      <c r="AA232" s="33">
        <v>45870</v>
      </c>
      <c r="AB232" s="32" t="s">
        <v>573</v>
      </c>
      <c r="AC232" s="30"/>
    </row>
    <row r="233" spans="1:29" ht="13.8" thickBot="1" x14ac:dyDescent="0.3">
      <c r="A233" s="73" t="s">
        <v>29</v>
      </c>
      <c r="B233" s="52" t="s">
        <v>304</v>
      </c>
      <c r="C233" s="52" t="s">
        <v>723</v>
      </c>
      <c r="D233" s="52" t="s">
        <v>722</v>
      </c>
      <c r="E233" s="51">
        <v>45869.833333333328</v>
      </c>
      <c r="F233" s="29" t="s">
        <v>704</v>
      </c>
      <c r="G233" s="52" t="s">
        <v>721</v>
      </c>
      <c r="H233" s="52" t="s">
        <v>720</v>
      </c>
      <c r="I233" s="52" t="s">
        <v>719</v>
      </c>
      <c r="J233" s="52" t="s">
        <v>718</v>
      </c>
      <c r="K233" s="31" t="s">
        <v>941</v>
      </c>
      <c r="L233" s="108" t="s">
        <v>221</v>
      </c>
      <c r="M233" s="108">
        <v>4</v>
      </c>
      <c r="N233" s="52" t="s">
        <v>543</v>
      </c>
      <c r="O233" s="52">
        <v>86</v>
      </c>
      <c r="P233" s="52">
        <v>43</v>
      </c>
      <c r="Q233" s="52">
        <v>1000</v>
      </c>
      <c r="R233" s="52">
        <v>2.21</v>
      </c>
      <c r="S233" s="52">
        <v>536.78</v>
      </c>
      <c r="T233" s="52" t="s">
        <v>31</v>
      </c>
      <c r="U233" s="32" t="s">
        <v>32</v>
      </c>
      <c r="V233" s="29" t="s">
        <v>640</v>
      </c>
      <c r="W233" s="52" t="s">
        <v>258</v>
      </c>
      <c r="X233" s="29"/>
      <c r="Y233" s="29"/>
      <c r="Z233" s="29"/>
      <c r="AA233" s="29"/>
      <c r="AB233" s="29"/>
      <c r="AC233" s="30"/>
    </row>
    <row r="234" spans="1:29" ht="13.8" thickBot="1" x14ac:dyDescent="0.3">
      <c r="A234" s="39"/>
      <c r="B234" s="29"/>
      <c r="C234" s="29"/>
      <c r="D234" s="29"/>
      <c r="E234" s="29"/>
      <c r="F234" s="29"/>
      <c r="G234" s="29"/>
      <c r="H234" s="29"/>
      <c r="I234" s="29"/>
      <c r="J234" s="29"/>
      <c r="K234" s="31">
        <v>0</v>
      </c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30"/>
    </row>
    <row r="235" spans="1:29" ht="13.8" thickBot="1" x14ac:dyDescent="0.3">
      <c r="A235" s="73" t="s">
        <v>29</v>
      </c>
      <c r="B235" s="52" t="s">
        <v>345</v>
      </c>
      <c r="C235" s="52" t="s">
        <v>749</v>
      </c>
      <c r="D235" s="52" t="s">
        <v>748</v>
      </c>
      <c r="E235" s="51">
        <v>45869.677083333328</v>
      </c>
      <c r="F235" s="83" t="s">
        <v>734</v>
      </c>
      <c r="G235" s="52" t="s">
        <v>741</v>
      </c>
      <c r="H235" s="52" t="s">
        <v>747</v>
      </c>
      <c r="I235" s="52" t="s">
        <v>746</v>
      </c>
      <c r="J235" s="52" t="s">
        <v>745</v>
      </c>
      <c r="K235" s="31" t="s">
        <v>942</v>
      </c>
      <c r="L235" s="37" t="s">
        <v>744</v>
      </c>
      <c r="M235" s="37" t="s">
        <v>960</v>
      </c>
      <c r="N235" s="52" t="s">
        <v>265</v>
      </c>
      <c r="O235" s="52">
        <v>152</v>
      </c>
      <c r="P235" s="52">
        <v>152</v>
      </c>
      <c r="Q235" s="52">
        <v>2930</v>
      </c>
      <c r="R235" s="52">
        <v>13.24</v>
      </c>
      <c r="S235" s="52">
        <v>1385</v>
      </c>
      <c r="T235" s="52" t="s">
        <v>31</v>
      </c>
      <c r="U235" s="32" t="s">
        <v>32</v>
      </c>
      <c r="V235" s="29" t="s">
        <v>640</v>
      </c>
      <c r="W235" s="52" t="s">
        <v>258</v>
      </c>
      <c r="X235" s="29"/>
      <c r="Y235" s="29"/>
      <c r="Z235" s="32" t="s">
        <v>822</v>
      </c>
      <c r="AA235" s="33">
        <v>45871</v>
      </c>
      <c r="AB235" s="32" t="s">
        <v>575</v>
      </c>
      <c r="AC235" s="30"/>
    </row>
    <row r="236" spans="1:29" ht="13.8" thickBot="1" x14ac:dyDescent="0.3">
      <c r="A236" s="73"/>
      <c r="B236" s="52"/>
      <c r="C236" s="52"/>
      <c r="D236" s="52"/>
      <c r="E236" s="51"/>
      <c r="F236" s="29"/>
      <c r="G236" s="52"/>
      <c r="H236" s="52"/>
      <c r="I236" s="52"/>
      <c r="J236" s="52"/>
      <c r="K236" s="31">
        <v>0</v>
      </c>
      <c r="L236" s="37"/>
      <c r="M236" s="37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29"/>
      <c r="Y236" s="29"/>
      <c r="Z236" s="29"/>
      <c r="AA236" s="29"/>
      <c r="AB236" s="29"/>
      <c r="AC236" s="30"/>
    </row>
    <row r="237" spans="1:29" ht="13.8" thickBot="1" x14ac:dyDescent="0.3">
      <c r="A237" s="73" t="s">
        <v>29</v>
      </c>
      <c r="B237" s="52" t="s">
        <v>345</v>
      </c>
      <c r="C237" s="52" t="s">
        <v>743</v>
      </c>
      <c r="D237" s="52" t="s">
        <v>742</v>
      </c>
      <c r="E237" s="51">
        <v>45869.676388888889</v>
      </c>
      <c r="F237" s="83" t="s">
        <v>734</v>
      </c>
      <c r="G237" s="52" t="s">
        <v>741</v>
      </c>
      <c r="H237" s="52" t="s">
        <v>740</v>
      </c>
      <c r="I237" s="52" t="s">
        <v>739</v>
      </c>
      <c r="J237" s="52" t="s">
        <v>738</v>
      </c>
      <c r="K237" s="31" t="s">
        <v>943</v>
      </c>
      <c r="L237" s="37" t="s">
        <v>737</v>
      </c>
      <c r="M237" s="37" t="s">
        <v>967</v>
      </c>
      <c r="N237" s="52" t="s">
        <v>265</v>
      </c>
      <c r="O237" s="52">
        <v>83</v>
      </c>
      <c r="P237" s="52">
        <v>83</v>
      </c>
      <c r="Q237" s="52">
        <v>1600</v>
      </c>
      <c r="R237" s="52">
        <v>7.23</v>
      </c>
      <c r="S237" s="52">
        <v>732</v>
      </c>
      <c r="T237" s="52" t="s">
        <v>31</v>
      </c>
      <c r="U237" s="32" t="s">
        <v>32</v>
      </c>
      <c r="V237" s="29" t="s">
        <v>640</v>
      </c>
      <c r="W237" s="52" t="s">
        <v>258</v>
      </c>
      <c r="X237" s="29"/>
      <c r="Y237" s="29"/>
      <c r="Z237" s="32" t="s">
        <v>823</v>
      </c>
      <c r="AA237" s="33">
        <v>45871</v>
      </c>
      <c r="AB237" s="32" t="s">
        <v>575</v>
      </c>
      <c r="AC237" s="30"/>
    </row>
    <row r="238" spans="1:29" ht="13.8" thickBot="1" x14ac:dyDescent="0.3">
      <c r="A238" s="73"/>
      <c r="B238" s="52"/>
      <c r="C238" s="52"/>
      <c r="D238" s="52"/>
      <c r="E238" s="51"/>
      <c r="F238" s="29"/>
      <c r="G238" s="52"/>
      <c r="H238" s="52"/>
      <c r="I238" s="52"/>
      <c r="J238" s="52"/>
      <c r="K238" s="31">
        <v>0</v>
      </c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29"/>
      <c r="Y238" s="29"/>
      <c r="Z238" s="29"/>
      <c r="AA238" s="29"/>
      <c r="AB238" s="29"/>
      <c r="AC238" s="30"/>
    </row>
    <row r="239" spans="1:29" ht="13.8" thickBot="1" x14ac:dyDescent="0.3">
      <c r="A239" s="73" t="s">
        <v>29</v>
      </c>
      <c r="B239" s="52" t="s">
        <v>38</v>
      </c>
      <c r="C239" s="52" t="s">
        <v>736</v>
      </c>
      <c r="D239" s="52" t="s">
        <v>735</v>
      </c>
      <c r="E239" s="51">
        <v>45869.828472222223</v>
      </c>
      <c r="F239" s="83" t="s">
        <v>734</v>
      </c>
      <c r="G239" s="52" t="s">
        <v>733</v>
      </c>
      <c r="H239" s="52" t="s">
        <v>732</v>
      </c>
      <c r="I239" s="52" t="s">
        <v>731</v>
      </c>
      <c r="J239" s="52" t="s">
        <v>730</v>
      </c>
      <c r="K239" s="31" t="s">
        <v>944</v>
      </c>
      <c r="L239" s="52" t="s">
        <v>729</v>
      </c>
      <c r="M239" s="52">
        <v>7</v>
      </c>
      <c r="N239" s="52" t="s">
        <v>728</v>
      </c>
      <c r="O239" s="52">
        <v>107</v>
      </c>
      <c r="P239" s="52">
        <v>107</v>
      </c>
      <c r="Q239" s="52">
        <v>2000</v>
      </c>
      <c r="R239" s="52">
        <v>7.01</v>
      </c>
      <c r="S239" s="52">
        <v>1486.4</v>
      </c>
      <c r="T239" s="52" t="s">
        <v>31</v>
      </c>
      <c r="U239" s="32" t="s">
        <v>32</v>
      </c>
      <c r="V239" s="29" t="s">
        <v>640</v>
      </c>
      <c r="W239" s="52" t="s">
        <v>258</v>
      </c>
      <c r="X239" s="29"/>
      <c r="Y239" s="29"/>
      <c r="Z239" s="32" t="s">
        <v>824</v>
      </c>
      <c r="AA239" s="33">
        <v>45871</v>
      </c>
      <c r="AB239" s="32" t="s">
        <v>573</v>
      </c>
      <c r="AC239" s="30"/>
    </row>
    <row r="240" spans="1:29" ht="13.8" thickBot="1" x14ac:dyDescent="0.3">
      <c r="A240" s="39"/>
      <c r="B240" s="29"/>
      <c r="C240" s="29"/>
      <c r="D240" s="29"/>
      <c r="E240" s="29"/>
      <c r="F240" s="29"/>
      <c r="G240" s="29"/>
      <c r="H240" s="29"/>
      <c r="I240" s="29"/>
      <c r="J240" s="29"/>
      <c r="K240" s="31">
        <v>0</v>
      </c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30"/>
    </row>
    <row r="241" spans="1:29" ht="13.8" thickBot="1" x14ac:dyDescent="0.3">
      <c r="A241" s="40" t="s">
        <v>29</v>
      </c>
      <c r="B241" s="32" t="s">
        <v>44</v>
      </c>
      <c r="C241" s="32" t="s">
        <v>832</v>
      </c>
      <c r="D241" s="32" t="s">
        <v>831</v>
      </c>
      <c r="E241" s="41">
        <v>45868.842361111107</v>
      </c>
      <c r="F241" s="63" t="s">
        <v>734</v>
      </c>
      <c r="G241" s="32" t="s">
        <v>830</v>
      </c>
      <c r="H241" s="32" t="s">
        <v>844</v>
      </c>
      <c r="I241" s="32" t="s">
        <v>843</v>
      </c>
      <c r="J241" s="32" t="s">
        <v>833</v>
      </c>
      <c r="K241" s="31" t="s">
        <v>945</v>
      </c>
      <c r="L241" s="32" t="s">
        <v>315</v>
      </c>
      <c r="M241" s="32">
        <v>8</v>
      </c>
      <c r="N241" s="32" t="s">
        <v>371</v>
      </c>
      <c r="O241" s="32">
        <v>261</v>
      </c>
      <c r="P241" s="32">
        <v>65</v>
      </c>
      <c r="Q241" s="32">
        <v>1960</v>
      </c>
      <c r="R241" s="32">
        <v>4.25</v>
      </c>
      <c r="S241" s="32">
        <v>656.2</v>
      </c>
      <c r="T241" s="32" t="s">
        <v>31</v>
      </c>
      <c r="U241" s="32" t="s">
        <v>32</v>
      </c>
      <c r="V241" s="29" t="s">
        <v>640</v>
      </c>
      <c r="W241" s="29" t="s">
        <v>258</v>
      </c>
      <c r="X241" s="29"/>
      <c r="Y241" s="29"/>
      <c r="Z241" s="29">
        <v>1453247</v>
      </c>
      <c r="AA241" s="33">
        <v>45871</v>
      </c>
      <c r="AB241" s="32" t="s">
        <v>573</v>
      </c>
      <c r="AC241" s="30"/>
    </row>
    <row r="242" spans="1:29" ht="13.8" thickBot="1" x14ac:dyDescent="0.3">
      <c r="A242" s="40" t="s">
        <v>29</v>
      </c>
      <c r="B242" s="32" t="s">
        <v>44</v>
      </c>
      <c r="C242" s="32" t="s">
        <v>832</v>
      </c>
      <c r="D242" s="32" t="s">
        <v>831</v>
      </c>
      <c r="E242" s="41">
        <v>45868.842361111107</v>
      </c>
      <c r="F242" s="63" t="s">
        <v>734</v>
      </c>
      <c r="G242" s="32" t="s">
        <v>830</v>
      </c>
      <c r="H242" s="32" t="s">
        <v>842</v>
      </c>
      <c r="I242" s="32" t="s">
        <v>841</v>
      </c>
      <c r="J242" s="32" t="s">
        <v>833</v>
      </c>
      <c r="K242" s="31" t="s">
        <v>945</v>
      </c>
      <c r="L242" s="32" t="s">
        <v>315</v>
      </c>
      <c r="M242" s="32">
        <v>9</v>
      </c>
      <c r="N242" s="32" t="s">
        <v>371</v>
      </c>
      <c r="O242" s="32">
        <v>261</v>
      </c>
      <c r="P242" s="32">
        <v>65</v>
      </c>
      <c r="Q242" s="32">
        <v>1932</v>
      </c>
      <c r="R242" s="32">
        <v>4.25</v>
      </c>
      <c r="S242" s="32">
        <v>611.20000000000005</v>
      </c>
      <c r="T242" s="32" t="s">
        <v>31</v>
      </c>
      <c r="U242" s="32" t="s">
        <v>32</v>
      </c>
      <c r="V242" s="29" t="s">
        <v>640</v>
      </c>
      <c r="W242" s="29" t="s">
        <v>258</v>
      </c>
      <c r="X242" s="29"/>
      <c r="Y242" s="29"/>
      <c r="Z242" s="29"/>
      <c r="AA242" s="29"/>
      <c r="AB242" s="29"/>
      <c r="AC242" s="30"/>
    </row>
    <row r="243" spans="1:29" ht="13.8" thickBot="1" x14ac:dyDescent="0.3">
      <c r="A243" s="40" t="s">
        <v>29</v>
      </c>
      <c r="B243" s="32" t="s">
        <v>44</v>
      </c>
      <c r="C243" s="32" t="s">
        <v>832</v>
      </c>
      <c r="D243" s="32" t="s">
        <v>831</v>
      </c>
      <c r="E243" s="41">
        <v>45868.842361111107</v>
      </c>
      <c r="F243" s="63" t="s">
        <v>734</v>
      </c>
      <c r="G243" s="32" t="s">
        <v>830</v>
      </c>
      <c r="H243" s="32" t="s">
        <v>840</v>
      </c>
      <c r="I243" s="32" t="s">
        <v>839</v>
      </c>
      <c r="J243" s="32" t="s">
        <v>833</v>
      </c>
      <c r="K243" s="31" t="s">
        <v>945</v>
      </c>
      <c r="L243" s="32" t="s">
        <v>46</v>
      </c>
      <c r="M243" s="32">
        <v>10</v>
      </c>
      <c r="N243" s="32" t="s">
        <v>371</v>
      </c>
      <c r="O243" s="32">
        <v>261</v>
      </c>
      <c r="P243" s="32">
        <v>35</v>
      </c>
      <c r="Q243" s="32">
        <v>1010</v>
      </c>
      <c r="R243" s="32">
        <v>2.29</v>
      </c>
      <c r="S243" s="32">
        <v>335.77</v>
      </c>
      <c r="T243" s="32" t="s">
        <v>31</v>
      </c>
      <c r="U243" s="32" t="s">
        <v>32</v>
      </c>
      <c r="V243" s="29" t="s">
        <v>640</v>
      </c>
      <c r="W243" s="29" t="s">
        <v>258</v>
      </c>
      <c r="X243" s="29"/>
      <c r="Y243" s="29"/>
      <c r="Z243" s="29"/>
      <c r="AA243" s="29"/>
      <c r="AB243" s="29"/>
      <c r="AC243" s="30"/>
    </row>
    <row r="244" spans="1:29" ht="13.8" thickBot="1" x14ac:dyDescent="0.3">
      <c r="A244" s="40" t="s">
        <v>29</v>
      </c>
      <c r="B244" s="32" t="s">
        <v>44</v>
      </c>
      <c r="C244" s="32" t="s">
        <v>832</v>
      </c>
      <c r="D244" s="32" t="s">
        <v>831</v>
      </c>
      <c r="E244" s="41">
        <v>45868.842361111107</v>
      </c>
      <c r="F244" s="63" t="s">
        <v>734</v>
      </c>
      <c r="G244" s="32" t="s">
        <v>830</v>
      </c>
      <c r="H244" s="32" t="s">
        <v>838</v>
      </c>
      <c r="I244" s="32" t="s">
        <v>837</v>
      </c>
      <c r="J244" s="32" t="s">
        <v>836</v>
      </c>
      <c r="K244" s="31" t="s">
        <v>946</v>
      </c>
      <c r="L244" s="32" t="s">
        <v>803</v>
      </c>
      <c r="M244" s="32">
        <v>11</v>
      </c>
      <c r="N244" s="32" t="s">
        <v>371</v>
      </c>
      <c r="O244" s="32">
        <v>261</v>
      </c>
      <c r="P244" s="32">
        <v>20</v>
      </c>
      <c r="Q244" s="32">
        <v>502</v>
      </c>
      <c r="R244" s="32">
        <v>1.31</v>
      </c>
      <c r="S244" s="32">
        <v>163.30000000000001</v>
      </c>
      <c r="T244" s="32" t="s">
        <v>31</v>
      </c>
      <c r="U244" s="32" t="s">
        <v>32</v>
      </c>
      <c r="V244" s="29" t="s">
        <v>640</v>
      </c>
      <c r="W244" s="29" t="s">
        <v>258</v>
      </c>
      <c r="X244" s="29"/>
      <c r="Y244" s="29"/>
      <c r="Z244" s="29"/>
      <c r="AA244" s="29"/>
      <c r="AB244" s="29"/>
      <c r="AC244" s="30"/>
    </row>
    <row r="245" spans="1:29" ht="13.8" thickBot="1" x14ac:dyDescent="0.3">
      <c r="A245" s="40" t="s">
        <v>29</v>
      </c>
      <c r="B245" s="32" t="s">
        <v>44</v>
      </c>
      <c r="C245" s="32" t="s">
        <v>832</v>
      </c>
      <c r="D245" s="32" t="s">
        <v>831</v>
      </c>
      <c r="E245" s="41">
        <v>45868.842361111107</v>
      </c>
      <c r="F245" s="63" t="s">
        <v>734</v>
      </c>
      <c r="G245" s="32" t="s">
        <v>830</v>
      </c>
      <c r="H245" s="32" t="s">
        <v>835</v>
      </c>
      <c r="I245" s="32" t="s">
        <v>834</v>
      </c>
      <c r="J245" s="32" t="s">
        <v>833</v>
      </c>
      <c r="K245" s="31" t="s">
        <v>945</v>
      </c>
      <c r="L245" s="32" t="s">
        <v>43</v>
      </c>
      <c r="M245" s="32">
        <v>12</v>
      </c>
      <c r="N245" s="32" t="s">
        <v>371</v>
      </c>
      <c r="O245" s="32">
        <v>261</v>
      </c>
      <c r="P245" s="32">
        <v>26</v>
      </c>
      <c r="Q245" s="32">
        <v>697</v>
      </c>
      <c r="R245" s="32">
        <v>1.7</v>
      </c>
      <c r="S245" s="32">
        <v>328.36</v>
      </c>
      <c r="T245" s="32" t="s">
        <v>31</v>
      </c>
      <c r="U245" s="32" t="s">
        <v>32</v>
      </c>
      <c r="V245" s="29" t="s">
        <v>640</v>
      </c>
      <c r="W245" s="29" t="s">
        <v>258</v>
      </c>
      <c r="X245" s="29"/>
      <c r="Y245" s="29"/>
      <c r="Z245" s="29"/>
      <c r="AA245" s="29"/>
      <c r="AB245" s="29"/>
      <c r="AC245" s="30"/>
    </row>
    <row r="246" spans="1:29" ht="13.8" thickBot="1" x14ac:dyDescent="0.3">
      <c r="A246" s="40" t="s">
        <v>29</v>
      </c>
      <c r="B246" s="32" t="s">
        <v>44</v>
      </c>
      <c r="C246" s="32" t="s">
        <v>832</v>
      </c>
      <c r="D246" s="32" t="s">
        <v>831</v>
      </c>
      <c r="E246" s="41">
        <v>45868.842361111107</v>
      </c>
      <c r="F246" s="63" t="s">
        <v>734</v>
      </c>
      <c r="G246" s="32" t="s">
        <v>830</v>
      </c>
      <c r="H246" s="32" t="s">
        <v>829</v>
      </c>
      <c r="I246" s="32" t="s">
        <v>828</v>
      </c>
      <c r="J246" s="32" t="s">
        <v>827</v>
      </c>
      <c r="K246" s="31" t="s">
        <v>947</v>
      </c>
      <c r="L246" s="32" t="s">
        <v>632</v>
      </c>
      <c r="M246" s="32">
        <v>13</v>
      </c>
      <c r="N246" s="32" t="s">
        <v>371</v>
      </c>
      <c r="O246" s="32">
        <v>261</v>
      </c>
      <c r="P246" s="32">
        <v>50</v>
      </c>
      <c r="Q246" s="32">
        <v>1500</v>
      </c>
      <c r="R246" s="32">
        <v>3.27</v>
      </c>
      <c r="S246" s="32">
        <v>648</v>
      </c>
      <c r="T246" s="32" t="s">
        <v>31</v>
      </c>
      <c r="U246" s="32" t="s">
        <v>32</v>
      </c>
      <c r="V246" s="29" t="s">
        <v>640</v>
      </c>
      <c r="W246" s="29" t="s">
        <v>258</v>
      </c>
      <c r="X246" s="29"/>
      <c r="Y246" s="29"/>
      <c r="Z246" s="29"/>
      <c r="AA246" s="29"/>
      <c r="AB246" s="29"/>
      <c r="AC246" s="30"/>
    </row>
    <row r="247" spans="1:29" ht="13.8" thickBot="1" x14ac:dyDescent="0.3">
      <c r="A247" s="39"/>
      <c r="B247" s="29"/>
      <c r="C247" s="29"/>
      <c r="D247" s="29"/>
      <c r="E247" s="29"/>
      <c r="F247" s="29"/>
      <c r="G247" s="29"/>
      <c r="H247" s="29"/>
      <c r="I247" s="29"/>
      <c r="J247" s="29"/>
      <c r="K247" s="31">
        <v>0</v>
      </c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30"/>
    </row>
    <row r="248" spans="1:29" ht="13.8" thickBot="1" x14ac:dyDescent="0.3">
      <c r="A248" s="73" t="s">
        <v>29</v>
      </c>
      <c r="B248" s="52" t="s">
        <v>38</v>
      </c>
      <c r="C248" s="52" t="s">
        <v>789</v>
      </c>
      <c r="D248" s="52" t="s">
        <v>788</v>
      </c>
      <c r="E248" s="51">
        <v>45868.657638888893</v>
      </c>
      <c r="F248" s="83" t="s">
        <v>734</v>
      </c>
      <c r="G248" s="52" t="s">
        <v>793</v>
      </c>
      <c r="H248" s="52" t="s">
        <v>796</v>
      </c>
      <c r="I248" s="52" t="s">
        <v>795</v>
      </c>
      <c r="J248" s="52" t="s">
        <v>786</v>
      </c>
      <c r="K248" s="31" t="s">
        <v>948</v>
      </c>
      <c r="L248" s="37" t="s">
        <v>794</v>
      </c>
      <c r="M248" s="37" t="s">
        <v>966</v>
      </c>
      <c r="N248" s="52" t="s">
        <v>371</v>
      </c>
      <c r="O248" s="52">
        <v>66</v>
      </c>
      <c r="P248" s="52">
        <v>33</v>
      </c>
      <c r="Q248" s="52">
        <v>884</v>
      </c>
      <c r="R248" s="52">
        <v>2.16</v>
      </c>
      <c r="S248" s="52">
        <v>445.7</v>
      </c>
      <c r="T248" s="52" t="s">
        <v>31</v>
      </c>
      <c r="U248" s="32" t="s">
        <v>32</v>
      </c>
      <c r="V248" s="29" t="s">
        <v>640</v>
      </c>
      <c r="W248" s="52" t="s">
        <v>258</v>
      </c>
      <c r="X248" s="52"/>
      <c r="Y248" s="52"/>
      <c r="Z248" s="32" t="s">
        <v>817</v>
      </c>
      <c r="AA248" s="33">
        <v>45871</v>
      </c>
      <c r="AB248" s="32" t="s">
        <v>573</v>
      </c>
      <c r="AC248" s="30"/>
    </row>
    <row r="249" spans="1:29" ht="13.8" thickBot="1" x14ac:dyDescent="0.3">
      <c r="A249" s="73" t="s">
        <v>29</v>
      </c>
      <c r="B249" s="52" t="s">
        <v>38</v>
      </c>
      <c r="C249" s="52" t="s">
        <v>789</v>
      </c>
      <c r="D249" s="52" t="s">
        <v>788</v>
      </c>
      <c r="E249" s="51">
        <v>45868.657638888893</v>
      </c>
      <c r="F249" s="83" t="s">
        <v>734</v>
      </c>
      <c r="G249" s="52" t="s">
        <v>793</v>
      </c>
      <c r="H249" s="52" t="s">
        <v>792</v>
      </c>
      <c r="I249" s="52" t="s">
        <v>791</v>
      </c>
      <c r="J249" s="52" t="s">
        <v>786</v>
      </c>
      <c r="K249" s="31" t="s">
        <v>948</v>
      </c>
      <c r="L249" s="37" t="s">
        <v>56</v>
      </c>
      <c r="M249" s="37" t="s">
        <v>955</v>
      </c>
      <c r="N249" s="52" t="s">
        <v>371</v>
      </c>
      <c r="O249" s="52">
        <v>66</v>
      </c>
      <c r="P249" s="52">
        <v>5</v>
      </c>
      <c r="Q249" s="52">
        <v>158</v>
      </c>
      <c r="R249" s="52">
        <v>0.33</v>
      </c>
      <c r="S249" s="52">
        <v>66.599999999999994</v>
      </c>
      <c r="T249" s="52" t="s">
        <v>31</v>
      </c>
      <c r="U249" s="32" t="s">
        <v>32</v>
      </c>
      <c r="V249" s="29" t="s">
        <v>640</v>
      </c>
      <c r="W249" s="52" t="s">
        <v>258</v>
      </c>
      <c r="X249" s="52"/>
      <c r="Y249" s="52"/>
      <c r="Z249" s="52"/>
      <c r="AA249" s="29"/>
      <c r="AB249" s="29"/>
      <c r="AC249" s="30"/>
    </row>
    <row r="250" spans="1:29" ht="13.8" thickBot="1" x14ac:dyDescent="0.3">
      <c r="A250" s="73" t="s">
        <v>29</v>
      </c>
      <c r="B250" s="52" t="s">
        <v>38</v>
      </c>
      <c r="C250" s="52" t="s">
        <v>789</v>
      </c>
      <c r="D250" s="52" t="s">
        <v>788</v>
      </c>
      <c r="E250" s="51">
        <v>45868.657638888893</v>
      </c>
      <c r="F250" s="83" t="s">
        <v>734</v>
      </c>
      <c r="G250" s="52" t="s">
        <v>430</v>
      </c>
      <c r="H250" s="52" t="s">
        <v>790</v>
      </c>
      <c r="I250" s="52" t="s">
        <v>435</v>
      </c>
      <c r="J250" s="52" t="s">
        <v>786</v>
      </c>
      <c r="K250" s="31" t="s">
        <v>948</v>
      </c>
      <c r="L250" s="37" t="s">
        <v>49</v>
      </c>
      <c r="M250" s="37" t="s">
        <v>956</v>
      </c>
      <c r="N250" s="52" t="s">
        <v>371</v>
      </c>
      <c r="O250" s="52">
        <v>66</v>
      </c>
      <c r="P250" s="52">
        <v>24</v>
      </c>
      <c r="Q250" s="52">
        <v>617</v>
      </c>
      <c r="R250" s="52">
        <v>1.57</v>
      </c>
      <c r="S250" s="52">
        <v>330.6</v>
      </c>
      <c r="T250" s="52" t="s">
        <v>31</v>
      </c>
      <c r="U250" s="32" t="s">
        <v>32</v>
      </c>
      <c r="V250" s="29" t="s">
        <v>640</v>
      </c>
      <c r="W250" s="52" t="s">
        <v>258</v>
      </c>
      <c r="X250" s="52"/>
      <c r="Y250" s="52"/>
      <c r="Z250" s="52"/>
      <c r="AA250" s="29"/>
      <c r="AB250" s="29"/>
      <c r="AC250" s="30"/>
    </row>
    <row r="251" spans="1:29" ht="13.8" thickBot="1" x14ac:dyDescent="0.3">
      <c r="A251" s="73" t="s">
        <v>29</v>
      </c>
      <c r="B251" s="52" t="s">
        <v>38</v>
      </c>
      <c r="C251" s="52" t="s">
        <v>789</v>
      </c>
      <c r="D251" s="52" t="s">
        <v>788</v>
      </c>
      <c r="E251" s="51">
        <v>45868.657638888893</v>
      </c>
      <c r="F251" s="83" t="s">
        <v>734</v>
      </c>
      <c r="G251" s="52" t="s">
        <v>430</v>
      </c>
      <c r="H251" s="52" t="s">
        <v>787</v>
      </c>
      <c r="I251" s="52" t="s">
        <v>432</v>
      </c>
      <c r="J251" s="52" t="s">
        <v>786</v>
      </c>
      <c r="K251" s="31" t="s">
        <v>948</v>
      </c>
      <c r="L251" s="37" t="s">
        <v>785</v>
      </c>
      <c r="M251" s="37" t="s">
        <v>969</v>
      </c>
      <c r="N251" s="52" t="s">
        <v>371</v>
      </c>
      <c r="O251" s="52">
        <v>66</v>
      </c>
      <c r="P251" s="52">
        <v>4</v>
      </c>
      <c r="Q251" s="52">
        <v>121</v>
      </c>
      <c r="R251" s="52">
        <v>0.26</v>
      </c>
      <c r="S251" s="52">
        <v>55.2</v>
      </c>
      <c r="T251" s="52" t="s">
        <v>31</v>
      </c>
      <c r="U251" s="32" t="s">
        <v>32</v>
      </c>
      <c r="V251" s="29" t="s">
        <v>640</v>
      </c>
      <c r="W251" s="52" t="s">
        <v>258</v>
      </c>
      <c r="X251" s="52"/>
      <c r="Y251" s="52"/>
      <c r="Z251" s="52"/>
      <c r="AA251" s="29"/>
      <c r="AB251" s="29"/>
      <c r="AC251" s="30"/>
    </row>
    <row r="252" spans="1:29" ht="13.8" thickBot="1" x14ac:dyDescent="0.3">
      <c r="A252" s="73"/>
      <c r="B252" s="52"/>
      <c r="C252" s="52"/>
      <c r="D252" s="52"/>
      <c r="E252" s="51"/>
      <c r="F252" s="29"/>
      <c r="G252" s="52"/>
      <c r="H252" s="52"/>
      <c r="I252" s="52"/>
      <c r="J252" s="52"/>
      <c r="K252" s="31">
        <v>0</v>
      </c>
      <c r="L252" s="37"/>
      <c r="M252" s="37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29"/>
      <c r="AB252" s="29"/>
      <c r="AC252" s="30"/>
    </row>
    <row r="253" spans="1:29" ht="13.8" thickBot="1" x14ac:dyDescent="0.3">
      <c r="A253" s="73" t="s">
        <v>29</v>
      </c>
      <c r="B253" s="52" t="s">
        <v>38</v>
      </c>
      <c r="C253" s="52" t="s">
        <v>766</v>
      </c>
      <c r="D253" s="52" t="s">
        <v>765</v>
      </c>
      <c r="E253" s="51">
        <v>45868.665972222225</v>
      </c>
      <c r="F253" s="83" t="s">
        <v>734</v>
      </c>
      <c r="G253" s="52" t="s">
        <v>775</v>
      </c>
      <c r="H253" s="52" t="s">
        <v>774</v>
      </c>
      <c r="I253" s="52" t="s">
        <v>773</v>
      </c>
      <c r="J253" s="52" t="s">
        <v>761</v>
      </c>
      <c r="K253" s="31" t="s">
        <v>949</v>
      </c>
      <c r="L253" s="37" t="s">
        <v>760</v>
      </c>
      <c r="M253" s="37" t="s">
        <v>970</v>
      </c>
      <c r="N253" s="52" t="s">
        <v>265</v>
      </c>
      <c r="O253" s="52">
        <v>52</v>
      </c>
      <c r="P253" s="52">
        <v>13</v>
      </c>
      <c r="Q253" s="52">
        <v>1043</v>
      </c>
      <c r="R253" s="52">
        <v>1.1299999999999999</v>
      </c>
      <c r="S253" s="52">
        <v>149.69999999999999</v>
      </c>
      <c r="T253" s="52" t="s">
        <v>31</v>
      </c>
      <c r="U253" s="32" t="s">
        <v>32</v>
      </c>
      <c r="V253" s="29" t="s">
        <v>640</v>
      </c>
      <c r="W253" s="52" t="s">
        <v>258</v>
      </c>
      <c r="X253" s="52"/>
      <c r="Y253" s="52"/>
      <c r="Z253" s="32" t="s">
        <v>819</v>
      </c>
      <c r="AA253" s="33">
        <v>45871</v>
      </c>
      <c r="AB253" s="32" t="s">
        <v>573</v>
      </c>
      <c r="AC253" s="30"/>
    </row>
    <row r="254" spans="1:29" ht="13.8" thickBot="1" x14ac:dyDescent="0.3">
      <c r="A254" s="73" t="s">
        <v>29</v>
      </c>
      <c r="B254" s="52" t="s">
        <v>38</v>
      </c>
      <c r="C254" s="52" t="s">
        <v>766</v>
      </c>
      <c r="D254" s="52" t="s">
        <v>765</v>
      </c>
      <c r="E254" s="51">
        <v>45868.665972222225</v>
      </c>
      <c r="F254" s="83" t="s">
        <v>734</v>
      </c>
      <c r="G254" s="52" t="s">
        <v>772</v>
      </c>
      <c r="H254" s="52" t="s">
        <v>771</v>
      </c>
      <c r="I254" s="52" t="s">
        <v>770</v>
      </c>
      <c r="J254" s="52" t="s">
        <v>761</v>
      </c>
      <c r="K254" s="31" t="s">
        <v>949</v>
      </c>
      <c r="L254" s="37" t="s">
        <v>760</v>
      </c>
      <c r="M254" s="37" t="s">
        <v>971</v>
      </c>
      <c r="N254" s="52" t="s">
        <v>265</v>
      </c>
      <c r="O254" s="52">
        <v>52</v>
      </c>
      <c r="P254" s="52">
        <v>13</v>
      </c>
      <c r="Q254" s="52">
        <v>1050</v>
      </c>
      <c r="R254" s="52">
        <v>1.1299999999999999</v>
      </c>
      <c r="S254" s="52">
        <v>158.9</v>
      </c>
      <c r="T254" s="52" t="s">
        <v>31</v>
      </c>
      <c r="U254" s="32" t="s">
        <v>32</v>
      </c>
      <c r="V254" s="29" t="s">
        <v>640</v>
      </c>
      <c r="W254" s="52" t="s">
        <v>258</v>
      </c>
      <c r="X254" s="52"/>
      <c r="Y254" s="52"/>
      <c r="Z254" s="52"/>
      <c r="AA254" s="29"/>
      <c r="AB254" s="29"/>
      <c r="AC254" s="30"/>
    </row>
    <row r="255" spans="1:29" ht="13.8" thickBot="1" x14ac:dyDescent="0.3">
      <c r="A255" s="73" t="s">
        <v>29</v>
      </c>
      <c r="B255" s="52" t="s">
        <v>38</v>
      </c>
      <c r="C255" s="52" t="s">
        <v>766</v>
      </c>
      <c r="D255" s="52" t="s">
        <v>765</v>
      </c>
      <c r="E255" s="51">
        <v>45868.665972222225</v>
      </c>
      <c r="F255" s="83" t="s">
        <v>734</v>
      </c>
      <c r="G255" s="52" t="s">
        <v>769</v>
      </c>
      <c r="H255" s="52" t="s">
        <v>768</v>
      </c>
      <c r="I255" s="52" t="s">
        <v>767</v>
      </c>
      <c r="J255" s="52" t="s">
        <v>761</v>
      </c>
      <c r="K255" s="31" t="s">
        <v>949</v>
      </c>
      <c r="L255" s="37" t="s">
        <v>760</v>
      </c>
      <c r="M255" s="37" t="s">
        <v>972</v>
      </c>
      <c r="N255" s="52" t="s">
        <v>265</v>
      </c>
      <c r="O255" s="52">
        <v>52</v>
      </c>
      <c r="P255" s="52">
        <v>13</v>
      </c>
      <c r="Q255" s="52">
        <v>1086</v>
      </c>
      <c r="R255" s="52">
        <v>1.1299999999999999</v>
      </c>
      <c r="S255" s="52">
        <v>162.15</v>
      </c>
      <c r="T255" s="52" t="s">
        <v>31</v>
      </c>
      <c r="U255" s="32" t="s">
        <v>32</v>
      </c>
      <c r="V255" s="29" t="s">
        <v>640</v>
      </c>
      <c r="W255" s="52" t="s">
        <v>258</v>
      </c>
      <c r="X255" s="52"/>
      <c r="Y255" s="52"/>
      <c r="Z255" s="52"/>
      <c r="AA255" s="29"/>
      <c r="AB255" s="29"/>
      <c r="AC255" s="30"/>
    </row>
    <row r="256" spans="1:29" ht="13.8" thickBot="1" x14ac:dyDescent="0.3">
      <c r="A256" s="73" t="s">
        <v>29</v>
      </c>
      <c r="B256" s="52" t="s">
        <v>38</v>
      </c>
      <c r="C256" s="52" t="s">
        <v>766</v>
      </c>
      <c r="D256" s="52" t="s">
        <v>765</v>
      </c>
      <c r="E256" s="51">
        <v>45868.665972222225</v>
      </c>
      <c r="F256" s="83" t="s">
        <v>734</v>
      </c>
      <c r="G256" s="52" t="s">
        <v>764</v>
      </c>
      <c r="H256" s="52" t="s">
        <v>763</v>
      </c>
      <c r="I256" s="52" t="s">
        <v>762</v>
      </c>
      <c r="J256" s="52" t="s">
        <v>761</v>
      </c>
      <c r="K256" s="31" t="s">
        <v>949</v>
      </c>
      <c r="L256" s="37" t="s">
        <v>760</v>
      </c>
      <c r="M256" s="37" t="s">
        <v>973</v>
      </c>
      <c r="N256" s="52" t="s">
        <v>265</v>
      </c>
      <c r="O256" s="52">
        <v>52</v>
      </c>
      <c r="P256" s="52">
        <v>13</v>
      </c>
      <c r="Q256" s="52">
        <v>1052</v>
      </c>
      <c r="R256" s="52">
        <v>1.1299999999999999</v>
      </c>
      <c r="S256" s="52">
        <v>155.1</v>
      </c>
      <c r="T256" s="52" t="s">
        <v>31</v>
      </c>
      <c r="U256" s="32" t="s">
        <v>32</v>
      </c>
      <c r="V256" s="29" t="s">
        <v>640</v>
      </c>
      <c r="W256" s="52" t="s">
        <v>258</v>
      </c>
      <c r="X256" s="52"/>
      <c r="Y256" s="52"/>
      <c r="Z256" s="52"/>
      <c r="AA256" s="29"/>
      <c r="AB256" s="29"/>
      <c r="AC256" s="30"/>
    </row>
    <row r="257" spans="1:29" ht="13.8" thickBot="1" x14ac:dyDescent="0.3">
      <c r="A257" s="79"/>
      <c r="B257" s="57"/>
      <c r="C257" s="57"/>
      <c r="D257" s="57"/>
      <c r="E257" s="57"/>
      <c r="F257" s="57"/>
      <c r="G257" s="57"/>
      <c r="H257" s="57"/>
      <c r="I257" s="57"/>
      <c r="J257" s="57"/>
      <c r="K257" s="31">
        <v>0</v>
      </c>
      <c r="L257" s="57"/>
      <c r="M257" s="57"/>
      <c r="N257" s="57"/>
      <c r="O257" s="59" t="s">
        <v>826</v>
      </c>
      <c r="P257" s="59">
        <f>SUM(P229:P256)</f>
        <v>887</v>
      </c>
      <c r="Q257" s="59">
        <f>SUM(Q229:Q256)</f>
        <v>23992</v>
      </c>
      <c r="R257" s="59">
        <f>SUM(R229:R256)</f>
        <v>63.280000000000015</v>
      </c>
      <c r="S257" s="59">
        <f>SUM(S229:S256)</f>
        <v>11534.140000000003</v>
      </c>
      <c r="T257" s="59" t="s">
        <v>645</v>
      </c>
      <c r="U257" s="57"/>
      <c r="V257" s="57"/>
      <c r="W257" s="57"/>
      <c r="X257" s="57"/>
      <c r="Y257" s="57"/>
      <c r="Z257" s="57"/>
      <c r="AA257" s="57"/>
      <c r="AB257" s="57"/>
      <c r="AC257" s="60"/>
    </row>
  </sheetData>
  <autoFilter ref="M2:M257" xr:uid="{E306E7B1-C370-4A5B-B2D1-AFD451B339AE}"/>
  <mergeCells count="2">
    <mergeCell ref="C3:U3"/>
    <mergeCell ref="E5:T5"/>
  </mergeCells>
  <phoneticPr fontId="6" type="noConversion"/>
  <conditionalFormatting sqref="H1:H24 I25 H26 I27:I38 H39:H43 I44:I49 H50:H75 I76:I82 H83:H87 I88:I92 H93 I94:I95 H96:H100 I101:I112 H113:H118 I119:I125 H126:H128 I129 H130:H132 I133:I139 H140:H147 I148:I155 H156:H158 I159:I161 H162:H172 I173:I175 H176 I177:I184 H185:H189 I190:I196 H197 H200 I201:I205 I212:I213 I215:I218 I220 H228 I229:I230 H231 I232:I233 H234 I235:I239 H240:H247 I248:I256 H257:H65513">
    <cfRule type="expression" dxfId="2" priority="20" stopIfTrue="1">
      <formula>AND(COUNTIF($H$1:$H$7, H1)+COUNTIF($H$8:$H$65513, H1)+COUNTIF(#REF!, H1)&gt;1,NOT(ISBLANK(H1)))</formula>
    </cfRule>
  </conditionalFormatting>
  <conditionalFormatting sqref="H206:H210">
    <cfRule type="expression" dxfId="1" priority="5" stopIfTrue="1">
      <formula>AND(COUNTIF($H$1:$H$7, H206)+COUNTIF($H$8:$H$65513, H206)+COUNTIF(#REF!, H206)&gt;1,NOT(ISBLANK(H206)))</formula>
    </cfRule>
  </conditionalFormatting>
  <conditionalFormatting sqref="I198:I199">
    <cfRule type="expression" dxfId="0" priority="8" stopIfTrue="1">
      <formula>AND(COUNTIF($H$1:$H$7, I198)+COUNTIF($H$8:$H$65513, I198)+COUNTIF(#REF!, I198)&gt;1,NOT(ISBLANK(I198)))</formula>
    </cfRule>
  </conditionalFormatting>
  <printOptions horizontalCentered="1" verticalCentered="1"/>
  <pageMargins left="0" right="0" top="0" bottom="0" header="0" footer="0"/>
  <pageSetup paperSize="9" scale="54" fitToHeight="0" orientation="landscape" r:id="rId1"/>
  <headerFooter alignWithMargins="0"/>
  <ignoredErrors>
    <ignoredError sqref="G76:J80 I150 G150:H156 G157:I161 G163:I171 I152:I156 G173:I179 L181 L183 G60:G68 G134:I139 G88:I107 L109:L112 L119:L128 L130:L132 G229:I233 G130:J132 G119:J128 G109:J112 G181:J183" numberStoredAsText="1"/>
    <ignoredError sqref="L156 L169:L175 N229:O233 L229:L233" twoDigitTextYear="1"/>
    <ignoredError sqref="L182" twoDigitTextYear="1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C8FC29-2E5E-4CBB-AB5C-1E84B1E0AF58}"/>
</file>

<file path=customXml/itemProps2.xml><?xml version="1.0" encoding="utf-8"?>
<ds:datastoreItem xmlns:ds="http://schemas.openxmlformats.org/officeDocument/2006/customXml" ds:itemID="{175480A2-755A-4558-AB9E-A88C10A9DADE}"/>
</file>

<file path=customXml/itemProps3.xml><?xml version="1.0" encoding="utf-8"?>
<ds:datastoreItem xmlns:ds="http://schemas.openxmlformats.org/officeDocument/2006/customXml" ds:itemID="{FBF5DF03-593C-4FDF-ABDC-78DEDC2AA1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CLP-DUMP</vt:lpstr>
      <vt:lpstr>'CLP-DUMP'!Print_Area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FARUK-NURUL</dc:creator>
  <cp:lastModifiedBy>Md. Roni Hosen</cp:lastModifiedBy>
  <cp:lastPrinted>2025-08-02T15:02:40Z</cp:lastPrinted>
  <dcterms:created xsi:type="dcterms:W3CDTF">2024-10-09T15:44:48Z</dcterms:created>
  <dcterms:modified xsi:type="dcterms:W3CDTF">2025-08-15T06:48:07Z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16DB893EA9DE4DEAA5A69931BFBE3717_12</vt:lpwstr>
  </property>
  <property fmtid="{D5CDD505-2E9C-101B-9397-08002B2CF9AE}" pid="3" name="KSOProductBuildVer">
    <vt:lpwstr>1033-12.2.0.21179</vt:lpwstr>
  </property>
  <property fmtid="{D5CDD505-2E9C-101B-9397-08002B2CF9AE}" pid="4" name="ContentTypeId">
    <vt:lpwstr>0x010100EDA1E1172CD48640B915C04C1DCB5F42</vt:lpwstr>
  </property>
</Properties>
</file>