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49" activeTab="1"/>
  </bookViews>
  <sheets>
    <sheet name="INV" sheetId="37" r:id="rId1"/>
    <sheet name="PL-home shopping" sheetId="40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<sst xmlns="http://schemas.openxmlformats.org/spreadsheetml/2006/main" count="307" uniqueCount="250">
  <si>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</si>
  <si>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</si>
  <si>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</si>
  <si>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</si>
  <si>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</si>
  <si>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</si>
  <si>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</si>
  <si>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</si>
  <si>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</si>
  <si>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26HT1202010C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</si>
  <si>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</si>
  <si>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</si>
  <si>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</si>
  <si>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</si>
  <si>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</si>
  <si>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</si>
  <si>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</si>
  <si>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</si>
  <si>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</si>
  <si>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</si>
  <si>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</si>
  <si>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</si>
  <si>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</si>
  <si>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</si>
  <si>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</si>
  <si>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</si>
  <si>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</si>
  <si>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</si>
  <si>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</si>
  <si>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</si>
  <si>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</si>
  <si>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00074681</t>
  </si>
  <si>
    <t>LADIES' 50%RECYCLE POLY 46%WOOL 4%ACYLIC WOVEN BLAZER
SASHA TWEEDY BLAZER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</si>
  <si>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</si>
  <si>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</si>
  <si>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</si>
  <si>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</si>
  <si>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</si>
  <si>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</si>
  <si>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</si>
  <si>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</si>
  <si>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</si>
  <si>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</si>
  <si>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</si>
  <si>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</si>
  <si>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</si>
  <si>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</si>
  <si>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</si>
  <si>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</si>
  <si>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</si>
  <si>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</si>
  <si>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</si>
  <si>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</si>
  <si>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</si>
  <si>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</si>
  <si>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</si>
  <si>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</si>
  <si>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</si>
  <si>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</si>
  <si>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</si>
  <si>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</si>
  <si>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</si>
  <si>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</si>
  <si>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</si>
  <si>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</si>
  <si>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</si>
  <si>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</si>
  <si>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</si>
  <si>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</si>
  <si>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</si>
  <si>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</si>
  <si>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</si>
  <si>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</si>
  <si>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</si>
  <si>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</si>
  <si>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</si>
  <si>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</si>
  <si>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</si>
  <si>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</si>
  <si>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</si>
  <si>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</si>
  <si>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</si>
  <si>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</si>
  <si>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</si>
  <si>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</si>
  <si>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</si>
  <si>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</si>
  <si>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</si>
  <si>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</si>
  <si>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</si>
  <si>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</si>
  <si>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</si>
  <si>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</si>
  <si>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</si>
  <si>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</si>
  <si>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</si>
  <si>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</si>
  <si>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</si>
  <si>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</si>
  <si>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</si>
  <si>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</si>
  <si>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</si>
  <si>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</si>
  <si>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</si>
  <si>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</si>
  <si>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</si>
  <si>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</si>
  <si>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</si>
  <si>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</si>
  <si>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</si>
  <si>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</si>
  <si>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</si>
  <si>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</si>
  <si>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</si>
  <si>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</si>
  <si>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</si>
  <si>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</si>
  <si>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</si>
  <si>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</si>
  <si>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</si>
  <si>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</si>
  <si>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</si>
  <si>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</si>
  <si>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</si>
  <si>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</si>
  <si>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</si>
  <si>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</si>
  <si>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</si>
  <si>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</si>
  <si>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</si>
  <si>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</si>
  <si>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</si>
  <si>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</si>
  <si>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</si>
  <si>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</si>
  <si>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</si>
  <si>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</si>
  <si>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</si>
  <si>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</si>
  <si>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</si>
  <si>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</si>
  <si>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</si>
  <si>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</si>
  <si>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</si>
  <si>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</si>
  <si>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</si>
  <si>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</si>
  <si>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</si>
  <si>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</si>
  <si>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</si>
  <si>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</si>
  <si>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</si>
  <si>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</si>
  <si>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</si>
  <si>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</si>
  <si>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</si>
  <si>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</si>
  <si>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</si>
  <si>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</si>
  <si>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</si>
  <si>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</si>
  <si>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</si>
  <si>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</si>
  <si>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</si>
  <si>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</si>
  <si>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</si>
  <si>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</si>
  <si>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</si>
  <si>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</si>
  <si>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</si>
  <si>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</si>
  <si>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</si>
  <si>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</si>
  <si>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</si>
  <si>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</si>
  <si>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</si>
  <si>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</si>
  <si>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</si>
  <si>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</si>
  <si>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</si>
  <si>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</si>
  <si>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</si>
  <si>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</si>
  <si>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</si>
  <si>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</si>
  <si>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</si>
  <si>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</si>
  <si>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</si>
  <si>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</si>
  <si>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</si>
  <si>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</si>
  <si>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-446914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</si>
  <si>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</si>
  <si>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</si>
  <si>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</si>
  <si>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</si>
  <si>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</si>
  <si>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</si>
  <si>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</si>
  <si>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</si>
  <si>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</si>
  <si>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6P</t>
  </si>
  <si>
    <t>8P</t>
  </si>
  <si>
    <t>10P</t>
  </si>
  <si>
    <t>12P</t>
  </si>
  <si>
    <t>14P</t>
  </si>
  <si>
    <t>16P</t>
  </si>
  <si>
    <t>18P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</si>
  <si>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</si>
  <si>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</si>
  <si>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</si>
  <si>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</si>
  <si>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</si>
  <si>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</si>
  <si>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</si>
  <si>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</si>
  <si>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</si>
  <si>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</si>
  <si>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</si>
  <si>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</si>
  <si>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</si>
  <si>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</si>
  <si>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</si>
  <si>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</si>
  <si>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</si>
  <si>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</si>
  <si>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</si>
  <si>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</si>
  <si>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</si>
  <si>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</si>
  <si>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</si>
  <si>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</si>
  <si>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</si>
  <si>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</si>
  <si>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</si>
  <si>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</si>
  <si>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</si>
  <si>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</si>
  <si>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</si>
  <si>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</si>
  <si>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</si>
  <si>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SASHA TWEEDY BLAZER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</si>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</sst>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26" formatCode="\$#,##0.00_);[Red]\(\$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);[Red]\(0\)"/>
    <numFmt numFmtId="178" formatCode="_ \¥* #,##0.00_ ;_ \¥* \-#,##0.00_ ;_ \¥* &quot;-&quot;??_ ;_ @_ "/>
    <numFmt numFmtId="179" formatCode="&quot;$&quot;#,##0.00"/>
    <numFmt numFmtId="180" formatCode="\$#,##0.00;\-\$#,##0.00"/>
    <numFmt numFmtId="181" formatCode="0_ "/>
    <numFmt numFmtId="182" formatCode="0.000_ "/>
    <numFmt numFmtId="183" formatCode="#,##0.0000;[Red]#,##0.0000"/>
    <numFmt numFmtId="184" formatCode="#,##0.0&quot;KGS&quot;"/>
    <numFmt numFmtId="185" formatCode="[$-409]d/mmm/yyyy;@"/>
    <numFmt numFmtId="186" formatCode="#,##0.00;[Red]#,##0.00"/>
    <numFmt numFmtId="187" formatCode="#,##0.00_ "/>
    <numFmt numFmtId="188" formatCode="#,##0&quot;CTNS&quot;"/>
    <numFmt numFmtId="189" formatCode="[$-409]d\-mmm\-yy;@"/>
    <numFmt numFmtId="190" formatCode="[$-409]d/mmm/yy;@"/>
    <numFmt numFmtId="191" formatCode="_-* #,##0_-;\-* #,##0_-;_-* &quot;-&quot;??_-;_-@_-"/>
    <numFmt numFmtId="192" formatCode="#,##0_ "/>
    <numFmt numFmtId="193" formatCode="0.000_);[Red]\(0.000\)"/>
    <numFmt numFmtId="194" formatCode="#,##0;[Red]#,##0"/>
  </numFmts>
  <fonts count="63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1"/>
      <name val="Arial"/>
      <charset val="0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1"/>
      <color theme="1"/>
      <name val="Arial"/>
      <charset val="0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>
      <alignment vertical="center"/>
    </xf>
    <xf numFmtId="0" fontId="39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7" fillId="15" borderId="99" applyNumberFormat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26" borderId="102" applyNumberFormat="0" applyFont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77" fontId="18" fillId="0" borderId="0"/>
    <xf numFmtId="0" fontId="57" fillId="0" borderId="103" applyNumberFormat="0" applyFill="0" applyAlignment="0" applyProtection="0">
      <alignment vertical="center"/>
    </xf>
    <xf numFmtId="0" fontId="58" fillId="0" borderId="103" applyNumberFormat="0" applyFill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0" borderId="96" applyNumberFormat="0" applyFill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5" fillId="13" borderId="97" applyNumberFormat="0" applyAlignment="0" applyProtection="0">
      <alignment vertical="center"/>
    </xf>
    <xf numFmtId="0" fontId="49" fillId="13" borderId="99" applyNumberFormat="0" applyAlignment="0" applyProtection="0">
      <alignment vertical="center"/>
    </xf>
    <xf numFmtId="0" fontId="52" fillId="21" borderId="101" applyNumberFormat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6" fillId="0" borderId="98" applyNumberFormat="0" applyFill="0" applyAlignment="0" applyProtection="0">
      <alignment vertical="center"/>
    </xf>
    <xf numFmtId="0" fontId="51" fillId="0" borderId="100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59" fillId="0" borderId="0"/>
    <xf numFmtId="0" fontId="44" fillId="16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44" fillId="33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60" fillId="0" borderId="0">
      <alignment vertical="center"/>
    </xf>
    <xf numFmtId="0" fontId="18" fillId="0" borderId="0"/>
    <xf numFmtId="0" fontId="61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0" borderId="0"/>
  </cellStyleXfs>
  <cellXfs count="317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8" xfId="0" applyFont="1" applyFill="1" applyBorder="1" applyAlignment="1">
      <alignment horizontal="center" vertical="center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10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1" fillId="2" borderId="62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1" fillId="2" borderId="65" xfId="0" applyFont="1" applyFill="1" applyBorder="1" applyAlignment="1">
      <alignment horizontal="left" vertical="center" wrapText="1"/>
    </xf>
    <xf numFmtId="0" fontId="11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1" fillId="2" borderId="66" xfId="0" applyFont="1" applyFill="1" applyBorder="1" applyAlignment="1" applyProtection="1">
      <alignment horizontal="left" vertical="center" wrapText="1"/>
    </xf>
    <xf numFmtId="0" fontId="11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>
      <alignment horizontal="center" vertical="center"/>
    </xf>
    <xf numFmtId="0" fontId="2" fillId="2" borderId="34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 applyProtection="1">
      <alignment horizontal="center" vertic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72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43" xfId="0" applyFont="1" applyFill="1" applyBorder="1" applyAlignment="1" applyProtection="1">
      <alignment horizontal="center" vertical="center" wrapText="1"/>
      <protection locked="0"/>
    </xf>
    <xf numFmtId="0" fontId="13" fillId="2" borderId="45" xfId="0" applyFont="1" applyFill="1" applyBorder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1" fillId="2" borderId="73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74" xfId="0" applyFont="1" applyFill="1" applyBorder="1" applyAlignment="1" applyProtection="1">
      <alignment horizontal="left" vertical="center" wrapText="1"/>
    </xf>
    <xf numFmtId="0" fontId="11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1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1" fillId="2" borderId="18" xfId="0" applyFont="1" applyFill="1" applyBorder="1" applyAlignment="1" applyProtection="1">
      <alignment horizontal="left" vertical="center" wrapText="1"/>
      <protection locked="0"/>
    </xf>
    <xf numFmtId="0" fontId="11" fillId="2" borderId="77" xfId="0" applyFont="1" applyFill="1" applyBorder="1" applyAlignment="1" applyProtection="1">
      <alignment horizontal="left" vertical="center" wrapText="1"/>
      <protection locked="0"/>
    </xf>
    <xf numFmtId="0" fontId="11" fillId="2" borderId="56" xfId="0" applyFont="1" applyFill="1" applyBorder="1" applyAlignment="1" applyProtection="1">
      <alignment horizontal="left" vertical="center" wrapText="1"/>
      <protection locked="0"/>
    </xf>
    <xf numFmtId="0" fontId="11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2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76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3" fillId="2" borderId="80" xfId="0" applyFont="1" applyFill="1" applyBorder="1" applyAlignment="1" applyProtection="1">
      <alignment horizontal="center" vertical="center" wrapText="1"/>
      <protection locked="0"/>
    </xf>
    <xf numFmtId="0" fontId="13" fillId="2" borderId="83" xfId="0" applyFont="1" applyFill="1" applyBorder="1" applyAlignment="1" applyProtection="1">
      <alignment horizontal="center" vertical="center" wrapText="1"/>
      <protection locked="0"/>
    </xf>
    <xf numFmtId="0" fontId="13" fillId="2" borderId="79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0" borderId="0" xfId="0" applyFont="1" applyAlignment="1"/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185" fontId="22" fillId="0" borderId="0" xfId="0" applyNumberFormat="1" applyFont="1" applyFill="1" applyBorder="1" applyAlignment="1">
      <alignment horizontal="left"/>
    </xf>
    <xf numFmtId="0" fontId="22" fillId="2" borderId="0" xfId="0" applyNumberFormat="1" applyFont="1" applyFill="1" applyBorder="1" applyAlignment="1"/>
    <xf numFmtId="0" fontId="22" fillId="0" borderId="0" xfId="0" applyFont="1" applyAlignment="1">
      <alignment vertical="center"/>
    </xf>
    <xf numFmtId="189" fontId="22" fillId="0" borderId="0" xfId="0" applyNumberFormat="1" applyFont="1" applyFill="1" applyBorder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8" fillId="0" borderId="0" xfId="0" applyFont="1" applyAlignment="1">
      <alignment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25" fillId="3" borderId="18" xfId="0" applyNumberFormat="1" applyFont="1" applyFill="1" applyBorder="1" applyAlignment="1">
      <alignment horizontal="center" vertical="center"/>
    </xf>
    <xf numFmtId="190" fontId="26" fillId="2" borderId="18" xfId="0" applyNumberFormat="1" applyFont="1" applyFill="1" applyBorder="1" applyAlignment="1">
      <alignment horizontal="center" vertical="center"/>
    </xf>
    <xf numFmtId="0" fontId="27" fillId="2" borderId="18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0" fontId="15" fillId="2" borderId="73" xfId="0" applyFont="1" applyFill="1" applyBorder="1" applyAlignment="1">
      <alignment horizontal="center" vertical="center" wrapText="1"/>
    </xf>
    <xf numFmtId="177" fontId="27" fillId="2" borderId="18" xfId="57" applyNumberFormat="1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right" vertical="center"/>
    </xf>
    <xf numFmtId="0" fontId="15" fillId="0" borderId="63" xfId="0" applyFont="1" applyBorder="1" applyAlignment="1">
      <alignment horizontal="right" vertical="center"/>
    </xf>
    <xf numFmtId="0" fontId="15" fillId="0" borderId="73" xfId="0" applyFont="1" applyBorder="1" applyAlignment="1">
      <alignment horizontal="right" vertical="center"/>
    </xf>
    <xf numFmtId="0" fontId="15" fillId="0" borderId="18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188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49" fontId="15" fillId="0" borderId="0" xfId="58" applyNumberFormat="1" applyFont="1">
      <alignment vertical="center"/>
    </xf>
    <xf numFmtId="0" fontId="15" fillId="0" borderId="0" xfId="58" applyFont="1">
      <alignment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/>
    <xf numFmtId="0" fontId="29" fillId="0" borderId="0" xfId="0" applyFont="1" applyFill="1" applyAlignment="1"/>
    <xf numFmtId="185" fontId="30" fillId="0" borderId="0" xfId="0" applyNumberFormat="1" applyFont="1" applyBorder="1">
      <alignment vertical="center"/>
    </xf>
    <xf numFmtId="49" fontId="22" fillId="0" borderId="0" xfId="0" applyNumberFormat="1" applyFont="1" applyAlignment="1">
      <alignment vertical="center"/>
    </xf>
    <xf numFmtId="185" fontId="22" fillId="0" borderId="0" xfId="0" applyNumberFormat="1" applyFont="1" applyFill="1" applyBorder="1" applyAlignment="1">
      <alignment vertical="center"/>
    </xf>
    <xf numFmtId="185" fontId="30" fillId="0" borderId="0" xfId="0" applyNumberFormat="1" applyFont="1" applyBorder="1" applyAlignment="1">
      <alignment horizontal="left" vertical="center"/>
    </xf>
    <xf numFmtId="180" fontId="27" fillId="2" borderId="18" xfId="59" applyNumberFormat="1" applyFont="1" applyFill="1" applyBorder="1" applyAlignment="1">
      <alignment horizontal="center" vertical="center"/>
    </xf>
    <xf numFmtId="26" fontId="15" fillId="0" borderId="18" xfId="0" applyNumberFormat="1" applyFont="1" applyFill="1" applyBorder="1" applyAlignment="1">
      <alignment horizontal="center" vertical="center"/>
    </xf>
    <xf numFmtId="26" fontId="27" fillId="2" borderId="18" xfId="59" applyNumberFormat="1" applyFont="1" applyFill="1" applyBorder="1" applyAlignment="1">
      <alignment horizontal="center" vertical="center"/>
    </xf>
    <xf numFmtId="187" fontId="15" fillId="0" borderId="19" xfId="0" applyNumberFormat="1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center" vertical="center"/>
    </xf>
    <xf numFmtId="188" fontId="26" fillId="2" borderId="0" xfId="0" applyNumberFormat="1" applyFont="1" applyFill="1" applyAlignment="1">
      <alignment vertical="center"/>
    </xf>
    <xf numFmtId="188" fontId="18" fillId="0" borderId="0" xfId="0" applyNumberFormat="1" applyFont="1" applyAlignment="1">
      <alignment vertical="center"/>
    </xf>
    <xf numFmtId="184" fontId="26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8" fillId="2" borderId="0" xfId="0" applyFont="1" applyFill="1" applyBorder="1" applyAlignment="1">
      <alignment vertical="center"/>
    </xf>
    <xf numFmtId="194" fontId="31" fillId="4" borderId="0" xfId="0" applyNumberFormat="1" applyFont="1" applyFill="1" applyAlignment="1">
      <alignment vertical="center"/>
    </xf>
    <xf numFmtId="0" fontId="31" fillId="0" borderId="0" xfId="0" applyFont="1" applyFill="1" applyAlignment="1">
      <alignment vertical="center"/>
    </xf>
    <xf numFmtId="194" fontId="18" fillId="2" borderId="0" xfId="0" applyNumberFormat="1" applyFont="1" applyFill="1" applyBorder="1" applyAlignment="1">
      <alignment vertical="center"/>
    </xf>
    <xf numFmtId="0" fontId="31" fillId="0" borderId="0" xfId="0" applyFont="1" applyFill="1" applyAlignment="1">
      <alignment horizontal="left" vertical="center"/>
    </xf>
    <xf numFmtId="0" fontId="31" fillId="0" borderId="0" xfId="55" applyFont="1" applyAlignment="1">
      <alignment vertical="center"/>
    </xf>
    <xf numFmtId="0" fontId="18" fillId="2" borderId="0" xfId="55" applyFont="1" applyFill="1" applyBorder="1" applyAlignment="1">
      <alignment vertical="center"/>
    </xf>
    <xf numFmtId="0" fontId="31" fillId="0" borderId="0" xfId="55" applyFont="1" applyAlignment="1">
      <alignment horizontal="left" vertical="center"/>
    </xf>
    <xf numFmtId="0" fontId="31" fillId="5" borderId="0" xfId="55" applyFont="1" applyFill="1" applyAlignment="1">
      <alignment vertical="center"/>
    </xf>
    <xf numFmtId="179" fontId="18" fillId="2" borderId="0" xfId="55" applyNumberFormat="1" applyFont="1" applyFill="1" applyBorder="1" applyAlignment="1" applyProtection="1">
      <alignment horizontal="center" vertical="center"/>
      <protection locked="0"/>
    </xf>
    <xf numFmtId="179" fontId="32" fillId="0" borderId="0" xfId="55" applyNumberFormat="1" applyFont="1" applyBorder="1" applyAlignment="1" applyProtection="1">
      <alignment horizontal="center" vertical="center"/>
      <protection locked="0"/>
    </xf>
    <xf numFmtId="0" fontId="33" fillId="4" borderId="0" xfId="55" applyFont="1" applyFill="1" applyBorder="1" applyAlignment="1" applyProtection="1">
      <alignment horizontal="left" vertical="center" wrapText="1"/>
      <protection locked="0"/>
    </xf>
    <xf numFmtId="179" fontId="31" fillId="0" borderId="0" xfId="55" applyNumberFormat="1" applyFont="1" applyFill="1" applyBorder="1" applyAlignment="1" applyProtection="1">
      <alignment horizontal="left" vertical="center"/>
      <protection locked="0"/>
    </xf>
    <xf numFmtId="179" fontId="31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3" fontId="34" fillId="0" borderId="0" xfId="0" applyNumberFormat="1" applyFont="1" applyFill="1" applyAlignment="1">
      <alignment vertical="center"/>
    </xf>
    <xf numFmtId="186" fontId="31" fillId="0" borderId="0" xfId="0" applyNumberFormat="1" applyFont="1" applyFill="1" applyAlignment="1">
      <alignment vertical="center"/>
    </xf>
    <xf numFmtId="193" fontId="32" fillId="0" borderId="0" xfId="0" applyNumberFormat="1" applyFont="1" applyFill="1" applyAlignment="1">
      <alignment vertical="center"/>
    </xf>
    <xf numFmtId="183" fontId="31" fillId="0" borderId="0" xfId="0" applyNumberFormat="1" applyFont="1" applyFill="1" applyAlignment="1">
      <alignment vertical="center"/>
    </xf>
    <xf numFmtId="0" fontId="34" fillId="0" borderId="0" xfId="55" applyFont="1" applyAlignment="1">
      <alignment vertical="center"/>
    </xf>
    <xf numFmtId="0" fontId="32" fillId="0" borderId="0" xfId="55" applyFont="1" applyAlignment="1">
      <alignment vertical="center"/>
    </xf>
    <xf numFmtId="192" fontId="31" fillId="0" borderId="0" xfId="55" applyNumberFormat="1" applyFont="1" applyAlignment="1">
      <alignment vertical="center"/>
    </xf>
    <xf numFmtId="181" fontId="31" fillId="0" borderId="0" xfId="55" applyNumberFormat="1" applyFont="1" applyAlignment="1">
      <alignment vertical="center"/>
    </xf>
    <xf numFmtId="191" fontId="31" fillId="0" borderId="0" xfId="9" applyNumberFormat="1" applyFont="1" applyAlignment="1">
      <alignment vertical="center"/>
    </xf>
    <xf numFmtId="0" fontId="35" fillId="0" borderId="0" xfId="0" applyFont="1" applyAlignment="1"/>
    <xf numFmtId="0" fontId="36" fillId="0" borderId="0" xfId="55" applyFont="1" applyAlignment="1">
      <alignment vertical="center"/>
    </xf>
    <xf numFmtId="179" fontId="37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51</xdr:row>
      <xdr:rowOff>18415</xdr:rowOff>
    </xdr:from>
    <xdr:to>
      <xdr:col>30</xdr:col>
      <xdr:colOff>626110</xdr:colOff>
      <xdr:row>55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4732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10" workbookViewId="0">
      <selection activeCell="I23" sqref="I23"/>
    </sheetView>
  </sheetViews>
  <sheetFormatPr defaultColWidth="9" defaultRowHeight="14.25"/>
  <cols>
    <col min="1" max="1" width="12.625" style="228" customWidth="1"/>
    <col min="2" max="2" width="15" style="228" customWidth="1"/>
    <col min="3" max="3" width="11.375" style="228" customWidth="1"/>
    <col min="4" max="4" width="6.5" style="228" customWidth="1"/>
    <col min="5" max="5" width="0.25" style="228" customWidth="1"/>
    <col min="6" max="6" width="8" style="228" customWidth="1"/>
    <col min="7" max="7" width="23.75" style="228" customWidth="1"/>
    <col min="8" max="8" width="16.875" style="228" customWidth="1"/>
    <col min="9" max="9" width="16.5" style="228" customWidth="1"/>
    <col min="10" max="10" width="15.875" style="228" customWidth="1"/>
    <col min="11" max="11" width="9" style="228"/>
    <col min="12" max="12" width="16" style="228" customWidth="1"/>
    <col min="13" max="16384" width="9" style="228"/>
  </cols>
  <sheetData>
    <row r="1" spans="1:3">
      <c r="A1" s="232"/>
      <c r="C1" s="233"/>
    </row>
    <row r="2" spans="3:3">
      <c r="C2" s="233"/>
    </row>
    <row r="3" ht="23.25" spans="3:7">
      <c r="C3" s="233"/>
      <c r="D3" s="234" t="s">
        <v>0</v>
      </c>
      <c r="E3" s="233"/>
      <c r="F3" s="233"/>
      <c r="G3" s="233"/>
    </row>
    <row r="4" ht="9.75" customHeight="1" spans="3:3">
      <c r="C4" s="233"/>
    </row>
    <row r="5" ht="12.95" customHeight="1" spans="3:3">
      <c r="C5" s="233"/>
    </row>
    <row r="6" ht="9.75" hidden="1" customHeight="1" spans="1:10">
      <c r="A6" s="233"/>
      <c r="B6" s="233"/>
      <c r="C6" s="233"/>
      <c r="D6" s="235"/>
      <c r="E6" s="233"/>
      <c r="F6" s="233"/>
      <c r="G6" s="233"/>
      <c r="H6" s="233"/>
      <c r="I6" s="233"/>
      <c r="J6" s="233"/>
    </row>
    <row r="7" ht="34" customHeight="1" spans="1:10">
      <c r="A7" s="236" t="s">
        <v>1</v>
      </c>
      <c r="B7" s="237"/>
      <c r="C7" s="237"/>
      <c r="D7" s="237"/>
      <c r="E7" s="237"/>
      <c r="F7" s="237"/>
      <c r="G7" s="237"/>
      <c r="H7" s="237"/>
      <c r="I7" s="237"/>
      <c r="J7" s="237"/>
    </row>
    <row r="8" spans="1:10">
      <c r="A8" s="237"/>
      <c r="B8" s="237"/>
      <c r="C8" s="237"/>
      <c r="D8" s="237"/>
      <c r="E8" s="237"/>
      <c r="F8" s="237"/>
      <c r="G8" s="237"/>
      <c r="H8" s="237"/>
      <c r="I8" s="237"/>
      <c r="J8" s="237"/>
    </row>
    <row r="9" spans="1:10">
      <c r="A9" s="237" t="s">
        <v>2</v>
      </c>
      <c r="B9" s="237"/>
      <c r="C9" s="237"/>
      <c r="D9" s="237"/>
      <c r="E9" s="237"/>
      <c r="F9" s="237"/>
      <c r="G9" s="237"/>
      <c r="H9" s="237"/>
      <c r="I9" s="237"/>
      <c r="J9" s="237"/>
    </row>
    <row r="10" spans="1:10">
      <c r="A10" s="237" t="s">
        <v>3</v>
      </c>
      <c r="B10" s="237"/>
      <c r="C10" s="237"/>
      <c r="D10" s="237"/>
      <c r="E10" s="237"/>
      <c r="F10" s="237"/>
      <c r="G10" s="237"/>
      <c r="H10" s="237"/>
      <c r="I10" s="237"/>
      <c r="J10" s="237"/>
    </row>
    <row r="11" spans="1:10">
      <c r="A11" s="237" t="s">
        <v>4</v>
      </c>
      <c r="B11" s="237"/>
      <c r="C11" s="237"/>
      <c r="D11" s="237"/>
      <c r="E11" s="237"/>
      <c r="F11" s="237"/>
      <c r="G11" s="237"/>
      <c r="H11" s="237"/>
      <c r="I11" s="237"/>
      <c r="J11" s="237"/>
    </row>
    <row r="12" ht="12" customHeight="1" spans="1:10">
      <c r="A12" s="233"/>
      <c r="B12" s="233"/>
      <c r="C12" s="233"/>
      <c r="D12" s="233"/>
      <c r="E12" s="233"/>
      <c r="F12" s="233"/>
      <c r="G12" s="233"/>
      <c r="H12" s="233"/>
      <c r="I12" s="233"/>
      <c r="J12" s="233"/>
    </row>
    <row r="13" s="226" customFormat="1" ht="14.1" customHeight="1" spans="1:10">
      <c r="A13" s="238" t="s">
        <v>5</v>
      </c>
      <c r="B13" s="238"/>
      <c r="C13" s="238"/>
      <c r="D13" s="238"/>
      <c r="G13" s="238" t="s">
        <v>6</v>
      </c>
      <c r="H13" s="239">
        <v>46187</v>
      </c>
      <c r="I13" s="239"/>
      <c r="J13" s="276"/>
    </row>
    <row r="14" s="226" customFormat="1" ht="14.1" customHeight="1" spans="1:10">
      <c r="A14" s="238" t="s">
        <v>7</v>
      </c>
      <c r="B14" s="238"/>
      <c r="C14" s="238"/>
      <c r="D14" s="238"/>
      <c r="G14" s="238" t="s">
        <v>8</v>
      </c>
      <c r="H14" s="240" t="s">
        <v>9</v>
      </c>
      <c r="I14" s="277"/>
      <c r="J14" s="277"/>
    </row>
    <row r="15" s="226" customFormat="1" ht="14.1" customHeight="1" spans="1:10">
      <c r="A15" s="238" t="s">
        <v>10</v>
      </c>
      <c r="B15" s="238"/>
      <c r="C15" s="238"/>
      <c r="D15" s="238"/>
      <c r="G15" s="238" t="s">
        <v>11</v>
      </c>
      <c r="H15" s="241" t="s">
        <v>12</v>
      </c>
      <c r="I15" s="241"/>
      <c r="J15" s="241"/>
    </row>
    <row r="16" s="226" customFormat="1" ht="14.1" customHeight="1" spans="1:10">
      <c r="A16" s="238" t="s">
        <v>13</v>
      </c>
      <c r="B16" s="238"/>
      <c r="C16" s="238"/>
      <c r="D16" s="238"/>
      <c r="G16" s="238" t="s">
        <v>14</v>
      </c>
      <c r="H16" s="241" t="s">
        <v>15</v>
      </c>
      <c r="I16" s="241"/>
      <c r="J16" s="241"/>
    </row>
    <row r="17" s="226" customFormat="1" ht="14.1" customHeight="1" spans="1:10">
      <c r="A17" s="238" t="s">
        <v>16</v>
      </c>
      <c r="B17" s="238"/>
      <c r="C17" s="238"/>
      <c r="D17" s="238"/>
      <c r="G17" s="238" t="s">
        <v>17</v>
      </c>
      <c r="H17" s="242">
        <v>46193</v>
      </c>
      <c r="I17" s="278"/>
      <c r="J17" s="279"/>
    </row>
    <row r="18" s="226" customFormat="1" ht="14.1" customHeight="1" spans="1:10">
      <c r="A18" s="238" t="s">
        <v>18</v>
      </c>
      <c r="B18" s="243"/>
      <c r="C18" s="238"/>
      <c r="D18" s="238"/>
      <c r="E18" s="238"/>
      <c r="F18" s="238"/>
      <c r="G18" s="238" t="s">
        <v>19</v>
      </c>
      <c r="H18" s="237" t="s">
        <v>20</v>
      </c>
      <c r="I18" s="237"/>
      <c r="J18" s="237"/>
    </row>
    <row r="19" s="226" customFormat="1" ht="14.1" customHeight="1" spans="1:10">
      <c r="A19" s="238" t="s">
        <v>21</v>
      </c>
      <c r="B19" s="244"/>
      <c r="C19" s="238"/>
      <c r="D19" s="238"/>
      <c r="E19" s="238"/>
      <c r="F19" s="238"/>
      <c r="G19" s="238"/>
      <c r="H19" s="238"/>
      <c r="I19" s="238"/>
      <c r="J19" s="238"/>
    </row>
    <row r="20" s="226" customFormat="1" ht="14.1" customHeight="1" spans="1:10">
      <c r="A20" s="238" t="s">
        <v>22</v>
      </c>
      <c r="B20" s="238" t="s">
        <v>23</v>
      </c>
      <c r="D20" s="238"/>
      <c r="E20" s="238"/>
      <c r="F20" s="238"/>
      <c r="G20" s="238"/>
      <c r="H20" s="238"/>
      <c r="I20" s="238"/>
      <c r="J20" s="238"/>
    </row>
    <row r="21" ht="12.75" customHeight="1" spans="1:10">
      <c r="A21" s="233"/>
      <c r="B21" s="233"/>
      <c r="C21" s="233"/>
      <c r="D21" s="233"/>
      <c r="E21" s="233"/>
      <c r="F21" s="233"/>
      <c r="G21" s="238"/>
      <c r="H21" s="238"/>
      <c r="I21" s="238"/>
      <c r="J21" s="238"/>
    </row>
    <row r="22" ht="12.75" customHeight="1" spans="1:10">
      <c r="A22" s="233"/>
      <c r="B22" s="233"/>
      <c r="C22" s="233"/>
      <c r="D22" s="233"/>
      <c r="E22" s="233"/>
      <c r="F22" s="233"/>
      <c r="G22" s="245"/>
      <c r="H22" s="233"/>
      <c r="I22" s="233"/>
      <c r="J22" s="233"/>
    </row>
    <row r="23" ht="12.75" customHeight="1" spans="1:10">
      <c r="A23" s="233"/>
      <c r="B23" s="233"/>
      <c r="C23" s="233"/>
      <c r="D23" s="233"/>
      <c r="E23" s="233"/>
      <c r="F23" s="233"/>
      <c r="G23" s="245"/>
      <c r="H23" s="233"/>
      <c r="I23" s="233"/>
      <c r="J23" s="233"/>
    </row>
    <row r="24" ht="12.75" customHeight="1" spans="1:10">
      <c r="A24" s="233"/>
      <c r="B24" s="233"/>
      <c r="C24" s="233"/>
      <c r="D24" s="233"/>
      <c r="E24" s="233"/>
      <c r="F24" s="233"/>
      <c r="G24" s="245"/>
      <c r="H24" s="233"/>
      <c r="I24" s="233"/>
      <c r="J24" s="233"/>
    </row>
    <row r="25" ht="27.75" customHeight="1" spans="1:10">
      <c r="A25" s="246" t="s">
        <v>24</v>
      </c>
      <c r="B25" s="246" t="s">
        <v>25</v>
      </c>
      <c r="C25" s="246" t="s">
        <v>26</v>
      </c>
      <c r="D25" s="246" t="s">
        <v>27</v>
      </c>
      <c r="E25" s="246"/>
      <c r="F25" s="246"/>
      <c r="G25" s="246"/>
      <c r="H25" s="247" t="s">
        <v>28</v>
      </c>
      <c r="I25" s="247" t="s">
        <v>29</v>
      </c>
      <c r="J25" s="247" t="s">
        <v>30</v>
      </c>
    </row>
    <row r="26" s="227" customFormat="1" ht="69" customHeight="1" spans="1:10">
      <c r="A26" s="248">
        <v>446914</v>
      </c>
      <c r="B26" s="249" t="s">
        <v>31</v>
      </c>
      <c r="C26" s="250">
        <v>20000</v>
      </c>
      <c r="D26" s="251" t="s">
        <v>32</v>
      </c>
      <c r="E26" s="252"/>
      <c r="F26" s="252"/>
      <c r="G26" s="253"/>
      <c r="H26" s="254">
        <f>'PL-home shopping'!F53</f>
        <v>914</v>
      </c>
      <c r="I26" s="280">
        <v>23.3</v>
      </c>
      <c r="J26" s="281">
        <f>H26*I26</f>
        <v>21296.2</v>
      </c>
    </row>
    <row r="27" s="227" customFormat="1" ht="69" customHeight="1" spans="1:10">
      <c r="A27" s="248"/>
      <c r="B27" s="249"/>
      <c r="C27" s="250"/>
      <c r="D27" s="251"/>
      <c r="E27" s="252"/>
      <c r="F27" s="252"/>
      <c r="G27" s="253"/>
      <c r="H27" s="254"/>
      <c r="I27" s="280"/>
      <c r="J27" s="281"/>
    </row>
    <row r="28" s="227" customFormat="1" ht="69" customHeight="1" spans="1:10">
      <c r="A28" s="248"/>
      <c r="B28" s="249"/>
      <c r="C28" s="250"/>
      <c r="D28" s="251"/>
      <c r="E28" s="252"/>
      <c r="F28" s="252"/>
      <c r="G28" s="253"/>
      <c r="H28" s="254"/>
      <c r="I28" s="280"/>
      <c r="J28" s="281"/>
    </row>
    <row r="29" s="227" customFormat="1" ht="69" customHeight="1" spans="1:10">
      <c r="A29" s="250"/>
      <c r="B29" s="255"/>
      <c r="C29" s="250"/>
      <c r="D29" s="251"/>
      <c r="E29" s="252"/>
      <c r="F29" s="252"/>
      <c r="G29" s="253"/>
      <c r="H29" s="254"/>
      <c r="I29" s="282"/>
      <c r="J29" s="281"/>
    </row>
    <row r="30" s="228" customFormat="1" ht="30" customHeight="1" spans="1:10">
      <c r="A30" s="256" t="s">
        <v>33</v>
      </c>
      <c r="B30" s="257"/>
      <c r="C30" s="257"/>
      <c r="D30" s="257"/>
      <c r="E30" s="257"/>
      <c r="F30" s="257"/>
      <c r="G30" s="258"/>
      <c r="H30" s="259">
        <f>SUM(H26:H28)</f>
        <v>914</v>
      </c>
      <c r="I30" s="283"/>
      <c r="J30" s="281">
        <f>SUM(J26:J28)</f>
        <v>21296.2</v>
      </c>
    </row>
    <row r="31" ht="9" customHeight="1" spans="1:10">
      <c r="A31" s="260"/>
      <c r="B31" s="260"/>
      <c r="C31" s="260"/>
      <c r="D31" s="261"/>
      <c r="E31" s="261"/>
      <c r="F31" s="261"/>
      <c r="G31" s="261"/>
      <c r="H31" s="260"/>
      <c r="I31" s="284"/>
      <c r="J31" s="284"/>
    </row>
    <row r="32" s="228" customFormat="1" ht="32.25" customHeight="1" spans="1:10">
      <c r="A32" s="262" t="str">
        <f>G175&amp;"ONLY"&amp;"(IN US DOLLARS)"</f>
        <v>SAY TOTAL  TWENTY ONE THOUSAND TWO HUNDRED NINETY  SIX AND CENTS TWENTY ONLY(IN US DOLLARS)</v>
      </c>
      <c r="B32" s="262"/>
      <c r="C32" s="262"/>
      <c r="D32" s="262"/>
      <c r="E32" s="262"/>
      <c r="F32" s="262"/>
      <c r="G32" s="262"/>
      <c r="H32" s="262"/>
      <c r="I32" s="262"/>
      <c r="J32" s="262"/>
    </row>
    <row r="33" ht="6.95" customHeight="1" spans="1:10">
      <c r="A33" s="263"/>
      <c r="B33" s="263"/>
      <c r="C33" s="263"/>
      <c r="D33" s="263"/>
      <c r="E33" s="263"/>
      <c r="F33" s="263"/>
      <c r="G33" s="263"/>
      <c r="H33" s="263"/>
      <c r="I33" s="263"/>
      <c r="J33" s="263"/>
    </row>
    <row r="34" ht="11.1" customHeight="1" spans="1:10">
      <c r="A34" s="263"/>
      <c r="B34" s="264"/>
      <c r="C34" s="264"/>
      <c r="D34" s="264"/>
      <c r="E34" s="264"/>
      <c r="F34" s="264"/>
      <c r="G34" s="264"/>
      <c r="H34" s="264"/>
      <c r="I34" s="264"/>
      <c r="J34" s="264"/>
    </row>
    <row r="35" ht="11.1" customHeight="1" spans="1:10">
      <c r="A35" s="264"/>
      <c r="B35" s="264"/>
      <c r="C35" s="264"/>
      <c r="D35" s="264"/>
      <c r="E35" s="264"/>
      <c r="F35" s="264"/>
      <c r="G35" s="264"/>
      <c r="H35" s="264"/>
      <c r="I35" s="264"/>
      <c r="J35" s="264"/>
    </row>
    <row r="36" ht="11.1" customHeight="1" spans="1:10">
      <c r="A36" s="264"/>
      <c r="B36" s="264"/>
      <c r="C36" s="264"/>
      <c r="D36" s="264"/>
      <c r="E36" s="264"/>
      <c r="F36" s="264"/>
      <c r="G36" s="264"/>
      <c r="H36" s="264"/>
      <c r="I36" s="264"/>
      <c r="J36" s="264"/>
    </row>
    <row r="37" ht="15.75" customHeight="1" spans="1:10">
      <c r="A37" s="229" t="s">
        <v>34</v>
      </c>
      <c r="B37" s="233"/>
      <c r="C37" s="233"/>
      <c r="D37" s="233"/>
      <c r="E37" s="233"/>
      <c r="F37" s="233"/>
      <c r="G37" s="229" t="s">
        <v>35</v>
      </c>
      <c r="H37" s="265"/>
      <c r="I37" s="285">
        <f>'PL-home shopping'!F54</f>
        <v>66</v>
      </c>
      <c r="J37" s="286"/>
    </row>
    <row r="38" ht="15.75" customHeight="1" spans="1:9">
      <c r="A38" s="229" t="s">
        <v>36</v>
      </c>
      <c r="B38" s="233"/>
      <c r="C38" s="233"/>
      <c r="D38" s="233"/>
      <c r="E38" s="233"/>
      <c r="F38" s="233"/>
      <c r="G38" s="229" t="s">
        <v>37</v>
      </c>
      <c r="H38" s="229"/>
      <c r="I38" s="287">
        <f>'PL-home shopping'!F56</f>
        <v>643.5</v>
      </c>
    </row>
    <row r="39" ht="15.75" customHeight="1" spans="1:9">
      <c r="A39" s="229" t="s">
        <v>38</v>
      </c>
      <c r="B39" s="233"/>
      <c r="C39" s="233"/>
      <c r="D39" s="233"/>
      <c r="E39" s="233"/>
      <c r="F39" s="233"/>
      <c r="G39" s="229" t="s">
        <v>39</v>
      </c>
      <c r="H39" s="229"/>
      <c r="I39" s="287">
        <f>'PL-home shopping'!F55</f>
        <v>709.5</v>
      </c>
    </row>
    <row r="40" ht="15.75" customHeight="1" spans="1:9">
      <c r="A40" s="229" t="s">
        <v>40</v>
      </c>
      <c r="B40" s="233"/>
      <c r="C40" s="233"/>
      <c r="D40" s="233"/>
      <c r="E40" s="233"/>
      <c r="F40" s="233"/>
      <c r="G40" s="229" t="s">
        <v>41</v>
      </c>
      <c r="H40" s="229"/>
      <c r="I40" s="288" t="s">
        <v>42</v>
      </c>
    </row>
    <row r="41" ht="15.75" customHeight="1" spans="1:9">
      <c r="A41" s="229" t="s">
        <v>43</v>
      </c>
      <c r="B41" s="233"/>
      <c r="C41" s="233"/>
      <c r="D41" s="233"/>
      <c r="E41" s="233"/>
      <c r="F41" s="233"/>
      <c r="G41" s="233"/>
      <c r="H41" s="233"/>
      <c r="I41" s="233"/>
    </row>
    <row r="42" ht="15.75" customHeight="1" spans="1:10">
      <c r="A42" s="233"/>
      <c r="B42" s="233"/>
      <c r="C42" s="233"/>
      <c r="D42" s="233"/>
      <c r="E42" s="233"/>
      <c r="F42" s="233"/>
      <c r="G42" s="233"/>
      <c r="H42" s="233"/>
      <c r="I42" s="233"/>
      <c r="J42" s="233"/>
    </row>
    <row r="43" ht="15.75" customHeight="1" spans="1:10">
      <c r="A43" s="233"/>
      <c r="B43" s="233"/>
      <c r="C43" s="233"/>
      <c r="D43" s="233"/>
      <c r="E43" s="233"/>
      <c r="F43" s="233"/>
      <c r="G43" s="233"/>
      <c r="H43" s="233"/>
      <c r="I43" s="233"/>
      <c r="J43" s="233"/>
    </row>
    <row r="44" s="229" customFormat="1" ht="15.75" customHeight="1" spans="1:14">
      <c r="A44" s="229" t="s">
        <v>44</v>
      </c>
      <c r="B44" s="266" t="s">
        <v>45</v>
      </c>
      <c r="I44" s="289"/>
      <c r="J44" s="289"/>
      <c r="K44" s="289"/>
      <c r="L44" s="289"/>
      <c r="M44" s="289"/>
      <c r="N44" s="289"/>
    </row>
    <row r="45" s="229" customFormat="1" ht="15.75" customHeight="1" spans="2:14">
      <c r="B45" s="267" t="s">
        <v>46</v>
      </c>
      <c r="I45" s="289"/>
      <c r="J45" s="289"/>
      <c r="K45" s="289"/>
      <c r="L45" s="289"/>
      <c r="M45" s="289"/>
      <c r="N45" s="289"/>
    </row>
    <row r="46" s="229" customFormat="1" ht="30" customHeight="1" spans="2:14">
      <c r="B46" s="264" t="s">
        <v>47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</row>
    <row r="47" s="229" customFormat="1" ht="15.75" customHeight="1" spans="1:10">
      <c r="A47" s="229" t="s">
        <v>48</v>
      </c>
      <c r="B47" s="267" t="s">
        <v>49</v>
      </c>
      <c r="C47" s="268"/>
      <c r="D47" s="268"/>
      <c r="E47" s="268"/>
      <c r="F47" s="268"/>
      <c r="G47" s="268"/>
      <c r="H47" s="268"/>
      <c r="I47" s="268"/>
      <c r="J47" s="268"/>
    </row>
    <row r="48" s="229" customFormat="1" ht="15.75" customHeight="1" spans="2:11">
      <c r="B48" s="229" t="s">
        <v>50</v>
      </c>
      <c r="C48" s="268"/>
      <c r="D48" s="268"/>
      <c r="E48" s="268"/>
      <c r="F48" s="268"/>
      <c r="G48" s="268"/>
      <c r="H48" s="268"/>
      <c r="I48" s="268"/>
      <c r="J48" s="268"/>
      <c r="K48" s="268"/>
    </row>
    <row r="49" s="229" customFormat="1" ht="15.75" customHeight="1" spans="2:10">
      <c r="B49" s="229" t="s">
        <v>51</v>
      </c>
      <c r="C49" s="268"/>
      <c r="D49" s="268"/>
      <c r="E49" s="268"/>
      <c r="F49" s="268"/>
      <c r="G49" s="268"/>
      <c r="H49" s="268"/>
      <c r="I49" s="268"/>
      <c r="J49" s="268"/>
    </row>
    <row r="50" s="229" customFormat="1" ht="15.75" customHeight="1" spans="2:10">
      <c r="B50" s="269" t="s">
        <v>52</v>
      </c>
      <c r="C50" s="268"/>
      <c r="D50" s="268"/>
      <c r="E50" s="268"/>
      <c r="F50" s="268"/>
      <c r="G50" s="268"/>
      <c r="H50" s="268"/>
      <c r="I50" s="268"/>
      <c r="J50" s="268"/>
    </row>
    <row r="51" ht="15.75" customHeight="1" spans="1:18">
      <c r="A51" s="229" t="s">
        <v>53</v>
      </c>
      <c r="B51" s="270" t="s">
        <v>54</v>
      </c>
      <c r="C51" s="271"/>
      <c r="D51" s="272"/>
      <c r="E51" s="272"/>
      <c r="F51" s="272"/>
      <c r="G51" s="229"/>
      <c r="H51" s="229"/>
      <c r="I51" s="268"/>
      <c r="J51" s="268"/>
      <c r="K51" s="229"/>
      <c r="L51" s="229"/>
      <c r="M51" s="229"/>
      <c r="N51" s="229"/>
      <c r="O51" s="229"/>
      <c r="P51" s="229"/>
      <c r="Q51" s="229"/>
      <c r="R51" s="229"/>
    </row>
    <row r="52" ht="15.75" customHeight="1" spans="1:18">
      <c r="A52" s="229"/>
      <c r="B52" s="270" t="s">
        <v>55</v>
      </c>
      <c r="C52" s="271" t="s">
        <v>56</v>
      </c>
      <c r="D52" s="272"/>
      <c r="E52" s="272"/>
      <c r="F52" s="272"/>
      <c r="G52" s="229"/>
      <c r="H52" s="229"/>
      <c r="I52" s="268"/>
      <c r="J52" s="268"/>
      <c r="K52" s="229"/>
      <c r="L52" s="229"/>
      <c r="M52" s="229"/>
      <c r="N52" s="229"/>
      <c r="O52" s="229"/>
      <c r="P52" s="229"/>
      <c r="Q52" s="229"/>
      <c r="R52" s="229"/>
    </row>
    <row r="53" ht="15.75" customHeight="1" spans="1:18">
      <c r="A53" s="229" t="s">
        <v>57</v>
      </c>
      <c r="B53" s="229" t="s">
        <v>45</v>
      </c>
      <c r="C53" s="268"/>
      <c r="E53" s="268"/>
      <c r="F53" s="268"/>
      <c r="H53" s="268"/>
      <c r="I53" s="268"/>
      <c r="J53" s="268"/>
      <c r="K53" s="229"/>
      <c r="L53" s="229"/>
      <c r="M53" s="229"/>
      <c r="N53" s="229"/>
      <c r="O53" s="229"/>
      <c r="P53" s="229"/>
      <c r="Q53" s="229"/>
      <c r="R53" s="229"/>
    </row>
    <row r="54" ht="15.75" customHeight="1" spans="1:18">
      <c r="A54" s="229"/>
      <c r="B54" s="229" t="s">
        <v>52</v>
      </c>
      <c r="D54" s="268"/>
      <c r="E54" s="268"/>
      <c r="F54" s="268"/>
      <c r="G54" s="268"/>
      <c r="H54" s="268"/>
      <c r="I54" s="268"/>
      <c r="J54" s="268"/>
      <c r="K54" s="229"/>
      <c r="L54" s="229"/>
      <c r="M54" s="229"/>
      <c r="N54" s="229"/>
      <c r="O54" s="229"/>
      <c r="P54" s="229"/>
      <c r="Q54" s="229"/>
      <c r="R54" s="229"/>
    </row>
    <row r="55" ht="15.75" customHeight="1" spans="1:18">
      <c r="A55" s="229"/>
      <c r="B55" s="229" t="s">
        <v>46</v>
      </c>
      <c r="C55" s="268"/>
      <c r="D55" s="268"/>
      <c r="E55" s="268"/>
      <c r="F55" s="268"/>
      <c r="G55" s="268"/>
      <c r="H55" s="268"/>
      <c r="I55" s="268"/>
      <c r="J55" s="268"/>
      <c r="K55" s="229"/>
      <c r="L55" s="229"/>
      <c r="M55" s="229"/>
      <c r="N55" s="229"/>
      <c r="O55" s="229"/>
      <c r="P55" s="229"/>
      <c r="Q55" s="229"/>
      <c r="R55" s="229"/>
    </row>
    <row r="56" ht="15" spans="1:12">
      <c r="A56" s="273" t="s">
        <v>58</v>
      </c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</row>
    <row r="57" ht="15.75" spans="1:12">
      <c r="A57" s="274" t="s">
        <v>59</v>
      </c>
      <c r="B57" s="274"/>
      <c r="C57" s="274"/>
      <c r="D57" s="275"/>
      <c r="E57" s="275"/>
      <c r="F57" s="275"/>
      <c r="G57" s="275"/>
      <c r="H57" s="275"/>
      <c r="I57" s="275"/>
      <c r="J57" s="275"/>
      <c r="K57" s="275"/>
      <c r="L57" s="275"/>
    </row>
    <row r="58" spans="1:10">
      <c r="A58" s="233"/>
      <c r="B58" s="233"/>
      <c r="C58" s="233"/>
      <c r="D58" s="233"/>
      <c r="E58" s="233"/>
      <c r="F58" s="233"/>
      <c r="G58" s="233"/>
      <c r="H58" s="233"/>
      <c r="I58" s="233"/>
      <c r="J58" s="233"/>
    </row>
    <row r="59" spans="1:10">
      <c r="A59" s="233"/>
      <c r="B59" s="233"/>
      <c r="C59" s="233"/>
      <c r="D59" s="233"/>
      <c r="E59" s="233"/>
      <c r="F59" s="233"/>
      <c r="G59" s="233"/>
      <c r="H59" s="233"/>
      <c r="I59" s="233"/>
      <c r="J59" s="233"/>
    </row>
    <row r="60" spans="1:10">
      <c r="A60" s="233"/>
      <c r="B60" s="233"/>
      <c r="C60" s="233"/>
      <c r="D60" s="233"/>
      <c r="E60" s="233"/>
      <c r="F60" s="233"/>
      <c r="G60" s="233"/>
      <c r="H60" s="233"/>
      <c r="I60" s="233"/>
      <c r="J60" s="233"/>
    </row>
    <row r="61" spans="1:10">
      <c r="A61" s="233"/>
      <c r="B61" s="233"/>
      <c r="C61" s="233"/>
      <c r="D61" s="233"/>
      <c r="E61" s="233"/>
      <c r="F61" s="233"/>
      <c r="G61" s="233"/>
      <c r="H61" s="233"/>
      <c r="I61" s="233"/>
      <c r="J61" s="233"/>
    </row>
    <row r="62" spans="1:10">
      <c r="A62" s="233"/>
      <c r="B62" s="233"/>
      <c r="C62" s="233"/>
      <c r="D62" s="233"/>
      <c r="E62" s="233"/>
      <c r="F62" s="233"/>
      <c r="G62" s="233"/>
      <c r="H62" s="233"/>
      <c r="I62" s="233"/>
      <c r="J62" s="233"/>
    </row>
    <row r="63" spans="1:10">
      <c r="A63" s="233"/>
      <c r="B63" s="233"/>
      <c r="C63" s="233"/>
      <c r="D63" s="233"/>
      <c r="E63" s="233"/>
      <c r="F63" s="233"/>
      <c r="G63" s="233"/>
      <c r="H63" s="233"/>
      <c r="I63" s="233"/>
      <c r="J63" s="233"/>
    </row>
    <row r="64" spans="1:10">
      <c r="A64" s="233"/>
      <c r="B64" s="233"/>
      <c r="C64" s="233"/>
      <c r="D64" s="233"/>
      <c r="E64" s="233"/>
      <c r="F64" s="233"/>
      <c r="G64" s="233"/>
      <c r="H64" s="233"/>
      <c r="I64" s="233"/>
      <c r="J64" s="233"/>
    </row>
    <row r="65" spans="1:10">
      <c r="A65" s="233"/>
      <c r="B65" s="233"/>
      <c r="C65" s="233"/>
      <c r="D65" s="233"/>
      <c r="E65" s="233"/>
      <c r="F65" s="233"/>
      <c r="G65" s="233"/>
      <c r="H65" s="233"/>
      <c r="I65" s="233"/>
      <c r="J65" s="233"/>
    </row>
    <row r="66" spans="1:10">
      <c r="A66" s="233"/>
      <c r="B66" s="233"/>
      <c r="C66" s="233"/>
      <c r="D66" s="233"/>
      <c r="E66" s="233"/>
      <c r="F66" s="233"/>
      <c r="G66" s="233"/>
      <c r="H66" s="233"/>
      <c r="I66" s="233"/>
      <c r="J66" s="233"/>
    </row>
    <row r="67" spans="1:10">
      <c r="A67" s="233"/>
      <c r="B67" s="233"/>
      <c r="C67" s="233"/>
      <c r="D67" s="233"/>
      <c r="E67" s="233"/>
      <c r="F67" s="233"/>
      <c r="G67" s="233"/>
      <c r="H67" s="233"/>
      <c r="I67" s="233"/>
      <c r="J67" s="233"/>
    </row>
    <row r="68" spans="1:10">
      <c r="A68" s="233"/>
      <c r="B68" s="233"/>
      <c r="C68" s="233"/>
      <c r="D68" s="233"/>
      <c r="E68" s="233"/>
      <c r="F68" s="233"/>
      <c r="G68" s="233"/>
      <c r="H68" s="233"/>
      <c r="I68" s="233"/>
      <c r="J68" s="233"/>
    </row>
    <row r="69" spans="1:10">
      <c r="A69" s="233"/>
      <c r="B69" s="233"/>
      <c r="C69" s="233"/>
      <c r="D69" s="233"/>
      <c r="E69" s="233"/>
      <c r="F69" s="233"/>
      <c r="G69" s="233"/>
      <c r="H69" s="233"/>
      <c r="I69" s="233"/>
      <c r="J69" s="233"/>
    </row>
    <row r="70" spans="1:10">
      <c r="A70" s="233"/>
      <c r="B70" s="233"/>
      <c r="C70" s="233"/>
      <c r="D70" s="233"/>
      <c r="E70" s="233"/>
      <c r="F70" s="233"/>
      <c r="G70" s="233"/>
      <c r="H70" s="233"/>
      <c r="I70" s="233"/>
      <c r="J70" s="233"/>
    </row>
    <row r="71" spans="1:10">
      <c r="A71" s="233"/>
      <c r="B71" s="233"/>
      <c r="C71" s="233"/>
      <c r="D71" s="233"/>
      <c r="E71" s="233"/>
      <c r="F71" s="233"/>
      <c r="G71" s="233"/>
      <c r="H71" s="233"/>
      <c r="I71" s="233"/>
      <c r="J71" s="233"/>
    </row>
    <row r="72" spans="1:10">
      <c r="A72" s="233"/>
      <c r="B72" s="233"/>
      <c r="C72" s="233"/>
      <c r="D72" s="233"/>
      <c r="E72" s="233"/>
      <c r="F72" s="233"/>
      <c r="G72" s="233"/>
      <c r="H72" s="233"/>
      <c r="I72" s="233"/>
      <c r="J72" s="233"/>
    </row>
    <row r="73" spans="1:10">
      <c r="A73" s="233"/>
      <c r="B73" s="233"/>
      <c r="C73" s="233"/>
      <c r="D73" s="233"/>
      <c r="E73" s="233"/>
      <c r="F73" s="233"/>
      <c r="G73" s="233"/>
      <c r="H73" s="233"/>
      <c r="I73" s="233"/>
      <c r="J73" s="233"/>
    </row>
    <row r="74" spans="1:10">
      <c r="A74" s="233"/>
      <c r="B74" s="233"/>
      <c r="C74" s="233"/>
      <c r="D74" s="233"/>
      <c r="E74" s="233"/>
      <c r="F74" s="233"/>
      <c r="G74" s="233"/>
      <c r="H74" s="233"/>
      <c r="I74" s="233"/>
      <c r="J74" s="233"/>
    </row>
    <row r="75" spans="1:10">
      <c r="A75" s="233"/>
      <c r="B75" s="233"/>
      <c r="C75" s="233"/>
      <c r="D75" s="233"/>
      <c r="E75" s="233"/>
      <c r="F75" s="233"/>
      <c r="G75" s="233"/>
      <c r="H75" s="233"/>
      <c r="I75" s="233"/>
      <c r="J75" s="233"/>
    </row>
    <row r="76" spans="1:10">
      <c r="A76" s="233"/>
      <c r="B76" s="233"/>
      <c r="C76" s="233"/>
      <c r="D76" s="233"/>
      <c r="E76" s="233"/>
      <c r="F76" s="233"/>
      <c r="G76" s="233"/>
      <c r="H76" s="233"/>
      <c r="I76" s="233"/>
      <c r="J76" s="233"/>
    </row>
    <row r="77" spans="1:10">
      <c r="A77" s="233"/>
      <c r="B77" s="233"/>
      <c r="C77" s="233"/>
      <c r="D77" s="233"/>
      <c r="E77" s="233"/>
      <c r="F77" s="233"/>
      <c r="G77" s="233"/>
      <c r="H77" s="233"/>
      <c r="I77" s="233"/>
      <c r="J77" s="233"/>
    </row>
    <row r="78" spans="1:10">
      <c r="A78" s="233"/>
      <c r="B78" s="233"/>
      <c r="C78" s="233"/>
      <c r="D78" s="233"/>
      <c r="E78" s="233"/>
      <c r="F78" s="233"/>
      <c r="G78" s="233"/>
      <c r="H78" s="233"/>
      <c r="I78" s="233"/>
      <c r="J78" s="233"/>
    </row>
    <row r="79" spans="1:10">
      <c r="A79" s="233"/>
      <c r="B79" s="233"/>
      <c r="C79" s="233"/>
      <c r="D79" s="233"/>
      <c r="E79" s="233"/>
      <c r="F79" s="233"/>
      <c r="G79" s="233"/>
      <c r="H79" s="233"/>
      <c r="I79" s="233"/>
      <c r="J79" s="233"/>
    </row>
    <row r="80" spans="1:10">
      <c r="A80" s="233"/>
      <c r="B80" s="233"/>
      <c r="C80" s="233"/>
      <c r="D80" s="233"/>
      <c r="E80" s="233"/>
      <c r="F80" s="233"/>
      <c r="G80" s="233"/>
      <c r="H80" s="233"/>
      <c r="I80" s="233"/>
      <c r="J80" s="233"/>
    </row>
    <row r="81" spans="1:10">
      <c r="A81" s="233"/>
      <c r="B81" s="233"/>
      <c r="C81" s="233"/>
      <c r="D81" s="233"/>
      <c r="E81" s="233"/>
      <c r="F81" s="233"/>
      <c r="G81" s="233"/>
      <c r="H81" s="233"/>
      <c r="I81" s="233"/>
      <c r="J81" s="233"/>
    </row>
    <row r="82" spans="1:10">
      <c r="A82" s="233"/>
      <c r="B82" s="233"/>
      <c r="C82" s="233"/>
      <c r="D82" s="233"/>
      <c r="E82" s="233"/>
      <c r="F82" s="233"/>
      <c r="G82" s="233"/>
      <c r="H82" s="233"/>
      <c r="I82" s="233"/>
      <c r="J82" s="233"/>
    </row>
    <row r="83" spans="1:10">
      <c r="A83" s="233"/>
      <c r="B83" s="233"/>
      <c r="C83" s="233"/>
      <c r="D83" s="233"/>
      <c r="E83" s="233"/>
      <c r="F83" s="233"/>
      <c r="G83" s="233"/>
      <c r="H83" s="233"/>
      <c r="I83" s="233"/>
      <c r="J83" s="233"/>
    </row>
    <row r="84" spans="1:10">
      <c r="A84" s="233"/>
      <c r="B84" s="233"/>
      <c r="C84" s="233"/>
      <c r="D84" s="233"/>
      <c r="E84" s="233"/>
      <c r="F84" s="233"/>
      <c r="G84" s="233"/>
      <c r="H84" s="233"/>
      <c r="I84" s="233"/>
      <c r="J84" s="233"/>
    </row>
    <row r="85" spans="1:10">
      <c r="A85" s="233"/>
      <c r="B85" s="233"/>
      <c r="C85" s="233"/>
      <c r="D85" s="233"/>
      <c r="E85" s="233"/>
      <c r="F85" s="233"/>
      <c r="G85" s="233"/>
      <c r="H85" s="233"/>
      <c r="I85" s="233"/>
      <c r="J85" s="233"/>
    </row>
    <row r="86" spans="1:10">
      <c r="A86" s="233"/>
      <c r="B86" s="233"/>
      <c r="C86" s="233"/>
      <c r="D86" s="233"/>
      <c r="E86" s="233"/>
      <c r="F86" s="233"/>
      <c r="G86" s="233"/>
      <c r="H86" s="233"/>
      <c r="I86" s="233"/>
      <c r="J86" s="233"/>
    </row>
    <row r="87" spans="1:10">
      <c r="A87" s="233"/>
      <c r="B87" s="233"/>
      <c r="C87" s="233"/>
      <c r="D87" s="233"/>
      <c r="E87" s="233"/>
      <c r="F87" s="233"/>
      <c r="G87" s="233"/>
      <c r="H87" s="233"/>
      <c r="I87" s="233"/>
      <c r="J87" s="233"/>
    </row>
    <row r="88" spans="1:10">
      <c r="A88" s="233"/>
      <c r="B88" s="233"/>
      <c r="C88" s="233"/>
      <c r="D88" s="233"/>
      <c r="E88" s="233"/>
      <c r="F88" s="233"/>
      <c r="G88" s="233"/>
      <c r="H88" s="233"/>
      <c r="I88" s="233"/>
      <c r="J88" s="233"/>
    </row>
    <row r="89" spans="1:10">
      <c r="A89" s="233"/>
      <c r="B89" s="233"/>
      <c r="C89" s="233"/>
      <c r="D89" s="233"/>
      <c r="E89" s="233"/>
      <c r="F89" s="233"/>
      <c r="G89" s="233"/>
      <c r="H89" s="233"/>
      <c r="I89" s="233"/>
      <c r="J89" s="233"/>
    </row>
    <row r="90" spans="1:10">
      <c r="A90" s="233"/>
      <c r="B90" s="233"/>
      <c r="C90" s="233"/>
      <c r="D90" s="233"/>
      <c r="E90" s="233"/>
      <c r="F90" s="233"/>
      <c r="G90" s="233"/>
      <c r="H90" s="233"/>
      <c r="I90" s="233"/>
      <c r="J90" s="233"/>
    </row>
    <row r="91" spans="1:10">
      <c r="A91" s="233"/>
      <c r="B91" s="233"/>
      <c r="C91" s="233"/>
      <c r="D91" s="233"/>
      <c r="E91" s="233"/>
      <c r="F91" s="233"/>
      <c r="G91" s="233"/>
      <c r="H91" s="233"/>
      <c r="I91" s="233"/>
      <c r="J91" s="233"/>
    </row>
    <row r="92" spans="1:10">
      <c r="A92" s="233"/>
      <c r="B92" s="233"/>
      <c r="C92" s="233"/>
      <c r="D92" s="233"/>
      <c r="E92" s="233"/>
      <c r="F92" s="233"/>
      <c r="G92" s="233"/>
      <c r="H92" s="233"/>
      <c r="I92" s="233"/>
      <c r="J92" s="233"/>
    </row>
    <row r="93" spans="1:10">
      <c r="A93" s="233"/>
      <c r="B93" s="233"/>
      <c r="C93" s="233"/>
      <c r="D93" s="233"/>
      <c r="E93" s="233"/>
      <c r="F93" s="233"/>
      <c r="G93" s="233"/>
      <c r="H93" s="233"/>
      <c r="I93" s="233"/>
      <c r="J93" s="233"/>
    </row>
    <row r="94" spans="1:10">
      <c r="A94" s="233"/>
      <c r="B94" s="233"/>
      <c r="C94" s="233"/>
      <c r="D94" s="233"/>
      <c r="E94" s="233"/>
      <c r="F94" s="233"/>
      <c r="G94" s="233"/>
      <c r="H94" s="233"/>
      <c r="I94" s="233"/>
      <c r="J94" s="233"/>
    </row>
    <row r="95" spans="1:10">
      <c r="A95" s="233"/>
      <c r="B95" s="233"/>
      <c r="C95" s="233"/>
      <c r="D95" s="233"/>
      <c r="E95" s="233"/>
      <c r="F95" s="233"/>
      <c r="G95" s="233"/>
      <c r="H95" s="233"/>
      <c r="I95" s="233"/>
      <c r="J95" s="233"/>
    </row>
    <row r="96" spans="1:10">
      <c r="A96" s="233"/>
      <c r="B96" s="233"/>
      <c r="C96" s="233"/>
      <c r="D96" s="233"/>
      <c r="E96" s="233"/>
      <c r="F96" s="233"/>
      <c r="G96" s="233"/>
      <c r="H96" s="233"/>
      <c r="I96" s="233"/>
      <c r="J96" s="233"/>
    </row>
    <row r="97" spans="1:10">
      <c r="A97" s="233"/>
      <c r="B97" s="233"/>
      <c r="C97" s="233"/>
      <c r="D97" s="233"/>
      <c r="E97" s="233"/>
      <c r="F97" s="233"/>
      <c r="G97" s="233"/>
      <c r="H97" s="233"/>
      <c r="I97" s="233"/>
      <c r="J97" s="233"/>
    </row>
    <row r="98" spans="1:10">
      <c r="A98" s="233"/>
      <c r="B98" s="233"/>
      <c r="C98" s="233"/>
      <c r="D98" s="233"/>
      <c r="E98" s="233"/>
      <c r="F98" s="233"/>
      <c r="G98" s="233"/>
      <c r="H98" s="233"/>
      <c r="I98" s="233"/>
      <c r="J98" s="233"/>
    </row>
    <row r="99" spans="1:10">
      <c r="A99" s="233"/>
      <c r="B99" s="233"/>
      <c r="C99" s="233"/>
      <c r="D99" s="233"/>
      <c r="E99" s="233"/>
      <c r="F99" s="233"/>
      <c r="G99" s="233"/>
      <c r="H99" s="233"/>
      <c r="I99" s="233"/>
      <c r="J99" s="233"/>
    </row>
    <row r="100" spans="1:10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</row>
    <row r="101" spans="1:10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</row>
    <row r="102" spans="1:10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</row>
    <row r="103" spans="1:10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</row>
    <row r="104" spans="1:10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</row>
    <row r="105" spans="1:10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</row>
    <row r="106" spans="1:10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</row>
    <row r="107" spans="1:10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</row>
    <row r="108" spans="1:10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</row>
    <row r="109" spans="1:10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</row>
    <row r="110" spans="1:10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</row>
    <row r="111" spans="1:10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</row>
    <row r="112" spans="1:10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</row>
    <row r="113" spans="1:10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</row>
    <row r="114" spans="1:10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</row>
    <row r="115" spans="1:10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</row>
    <row r="116" spans="1:10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</row>
    <row r="117" spans="1:10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</row>
    <row r="118" spans="1:10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</row>
    <row r="119" spans="1:10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</row>
    <row r="120" spans="1:10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</row>
    <row r="121" spans="1:10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</row>
    <row r="122" spans="1:10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</row>
    <row r="123" spans="1:10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</row>
    <row r="124" spans="1:10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</row>
    <row r="125" spans="1:10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</row>
    <row r="126" spans="1:10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</row>
    <row r="127" spans="1:10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</row>
    <row r="128" spans="1:10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</row>
    <row r="129" spans="1:10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</row>
    <row r="130" spans="1:10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</row>
    <row r="131" spans="1:10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</row>
    <row r="132" spans="1:10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</row>
    <row r="133" spans="1:10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</row>
    <row r="134" spans="1:10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</row>
    <row r="135" spans="1:10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</row>
    <row r="136" spans="1:10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</row>
    <row r="137" spans="1:10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</row>
    <row r="138" spans="1:10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</row>
    <row r="139" spans="1:10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</row>
    <row r="140" spans="1:10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</row>
    <row r="141" spans="1:10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</row>
    <row r="142" spans="1:10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</row>
    <row r="143" spans="1:10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</row>
    <row r="144" spans="1:10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</row>
    <row r="145" spans="1:10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</row>
    <row r="146" spans="1:10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</row>
    <row r="147" spans="1:10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</row>
    <row r="148" spans="1:10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</row>
    <row r="149" spans="1:10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</row>
    <row r="150" spans="1:10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</row>
    <row r="151" spans="1:10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</row>
    <row r="152" spans="1:10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</row>
    <row r="153" spans="1:10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</row>
    <row r="154" spans="1:10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</row>
    <row r="155" spans="1:10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</row>
    <row r="156" spans="1:10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</row>
    <row r="157" spans="1:10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</row>
    <row r="158" spans="1:10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</row>
    <row r="159" spans="1:10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</row>
    <row r="160" spans="1:10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</row>
    <row r="161" spans="1:10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</row>
    <row r="162" spans="1:10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</row>
    <row r="163" s="230" customFormat="1" ht="13.5" spans="3:3">
      <c r="C163" s="290"/>
    </row>
    <row r="164" s="231" customFormat="1" ht="15.75" hidden="1" spans="1:15">
      <c r="A164" s="291">
        <f>J30</f>
        <v>21296.2</v>
      </c>
      <c r="B164" s="292"/>
      <c r="C164" s="293"/>
      <c r="D164" s="292"/>
      <c r="E164" s="292"/>
      <c r="F164" s="292"/>
      <c r="G164" s="294"/>
      <c r="H164" s="292"/>
      <c r="I164" s="305"/>
      <c r="J164" s="306"/>
      <c r="K164" s="307"/>
      <c r="L164" s="292"/>
      <c r="M164" s="308"/>
      <c r="N164" s="292"/>
      <c r="O164" s="292"/>
    </row>
    <row r="165" s="231" customFormat="1" ht="15.75" hidden="1" spans="1:15">
      <c r="A165" s="295"/>
      <c r="B165" s="295"/>
      <c r="C165" s="296"/>
      <c r="D165" s="295"/>
      <c r="E165" s="295"/>
      <c r="F165" s="295"/>
      <c r="G165" s="297">
        <f>INT(INT(A164)/1000000)</f>
        <v>0</v>
      </c>
      <c r="H165" s="295">
        <f>INT((RIGHT(INT(A164),6))/100000)</f>
        <v>0</v>
      </c>
      <c r="I165" s="309">
        <f>INT((RIGHT(INT(A164),5))/1000)</f>
        <v>21</v>
      </c>
      <c r="J165" s="295">
        <f>INT((RIGHT(INT(A164),3))/100)</f>
        <v>2</v>
      </c>
      <c r="K165" s="310">
        <f>INT(RIGHT(INT(A164),2))</f>
        <v>96</v>
      </c>
      <c r="L165" s="311">
        <f>ROUND((A164*100-INT(A164)*100),0)</f>
        <v>20</v>
      </c>
      <c r="M165" s="295"/>
      <c r="N165" s="295"/>
      <c r="O165" s="295"/>
    </row>
    <row r="166" s="231" customFormat="1" ht="15.75" hidden="1" spans="1:15">
      <c r="A166" s="298"/>
      <c r="B166" s="295"/>
      <c r="C166" s="296"/>
      <c r="D166" s="295"/>
      <c r="E166" s="295"/>
      <c r="F166" s="295"/>
      <c r="G166" s="297" t="str">
        <f>VLOOKUP(G165,$A165:$C293,2)</f>
        <v>ZERO</v>
      </c>
      <c r="H166" s="295" t="str">
        <f>VLOOKUP(H165,$A166:$C293,2)</f>
        <v>ZERO</v>
      </c>
      <c r="I166" s="309" t="str">
        <f>VLOOKUP(I165,$A166:$C293,2)</f>
        <v>TWENTY ONE</v>
      </c>
      <c r="J166" s="295" t="str">
        <f>VLOOKUP(J165,$A166:$C293,2)</f>
        <v>TWO</v>
      </c>
      <c r="K166" s="310" t="str">
        <f>VLOOKUP(K165,$A166:$C293,2)</f>
        <v>NINETY  SIX</v>
      </c>
      <c r="L166" s="295" t="str">
        <f>VLOOKUP(L165,$A166:$C293,2)</f>
        <v>TWENTY</v>
      </c>
      <c r="M166" s="295"/>
      <c r="N166" s="295"/>
      <c r="O166" s="295"/>
    </row>
    <row r="167" s="231" customFormat="1" ht="15.75" hidden="1" spans="1:15">
      <c r="A167" s="295"/>
      <c r="B167" s="295"/>
      <c r="C167" s="299"/>
      <c r="D167" s="300"/>
      <c r="E167" s="300"/>
      <c r="F167" s="295"/>
      <c r="G167" s="297" t="s">
        <v>60</v>
      </c>
      <c r="H167" s="295"/>
      <c r="I167" s="309"/>
      <c r="J167" s="295"/>
      <c r="K167" s="310"/>
      <c r="L167" s="295"/>
      <c r="M167" s="312"/>
      <c r="N167" s="313"/>
      <c r="O167" s="295"/>
    </row>
    <row r="168" s="231" customFormat="1" ht="15.75" hidden="1" spans="1:15">
      <c r="A168" s="295"/>
      <c r="B168" s="295"/>
      <c r="C168" s="299"/>
      <c r="D168" s="300"/>
      <c r="E168" s="300"/>
      <c r="F168" s="295"/>
      <c r="G168" s="297"/>
      <c r="H168" s="295"/>
      <c r="I168" s="309"/>
      <c r="J168" s="295"/>
      <c r="K168" s="310"/>
      <c r="L168" s="295"/>
      <c r="M168" s="312"/>
      <c r="N168" s="313"/>
      <c r="O168" s="295"/>
    </row>
    <row r="169" s="231" customFormat="1" ht="15.75" hidden="1" spans="1:15">
      <c r="A169" s="295"/>
      <c r="B169" s="295"/>
      <c r="C169" s="299"/>
      <c r="D169" s="300"/>
      <c r="E169" s="300"/>
      <c r="F169" s="295"/>
      <c r="G169" s="297" t="str">
        <f>IF(H165=0,"",H166&amp;" HUNDRED ")</f>
        <v/>
      </c>
      <c r="H169" s="295"/>
      <c r="I169" s="309"/>
      <c r="J169" s="295"/>
      <c r="K169" s="310"/>
      <c r="L169" s="295"/>
      <c r="M169" s="312"/>
      <c r="N169" s="313"/>
      <c r="O169" s="295"/>
    </row>
    <row r="170" s="231" customFormat="1" ht="15.75" hidden="1" spans="1:15">
      <c r="A170" s="295"/>
      <c r="B170" s="295"/>
      <c r="C170" s="299"/>
      <c r="D170" s="300"/>
      <c r="E170" s="300"/>
      <c r="F170" s="295"/>
      <c r="G170" s="297" t="str">
        <f>IF(I165=0," ",+" "&amp;I166&amp;" THOUSAND ")</f>
        <v> TWENTY ONE THOUSAND </v>
      </c>
      <c r="H170" s="295"/>
      <c r="I170" s="309"/>
      <c r="J170" s="295"/>
      <c r="K170" s="310"/>
      <c r="L170" s="295"/>
      <c r="M170" s="312"/>
      <c r="N170" s="313"/>
      <c r="O170" s="295"/>
    </row>
    <row r="171" s="231" customFormat="1" ht="15.75" hidden="1" spans="1:15">
      <c r="A171" s="295"/>
      <c r="B171" s="295"/>
      <c r="C171" s="299"/>
      <c r="D171" s="300"/>
      <c r="E171" s="300"/>
      <c r="F171" s="295"/>
      <c r="G171" s="297" t="str">
        <f>IF(J165=0,"",+J166&amp;" HUNDRED ")</f>
        <v>TWO HUNDRED </v>
      </c>
      <c r="H171" s="295"/>
      <c r="I171" s="309"/>
      <c r="J171" s="295"/>
      <c r="K171" s="310"/>
      <c r="L171" s="295"/>
      <c r="M171" s="312"/>
      <c r="N171" s="313"/>
      <c r="O171" s="295"/>
    </row>
    <row r="172" s="231" customFormat="1" ht="15.75" hidden="1" spans="1:15">
      <c r="A172" s="295"/>
      <c r="B172" s="295"/>
      <c r="C172" s="299"/>
      <c r="D172" s="300"/>
      <c r="E172" s="300"/>
      <c r="F172" s="295"/>
      <c r="G172" s="297" t="str">
        <f>IF(K165=0,"",+K166&amp;" ")</f>
        <v>NINETY  SIX </v>
      </c>
      <c r="H172" s="295"/>
      <c r="I172" s="309"/>
      <c r="J172" s="295"/>
      <c r="K172" s="310"/>
      <c r="L172" s="295"/>
      <c r="M172" s="312"/>
      <c r="N172" s="313"/>
      <c r="O172" s="295"/>
    </row>
    <row r="173" s="231" customFormat="1" ht="15.75" hidden="1" spans="1:15">
      <c r="A173" s="295"/>
      <c r="B173" s="295"/>
      <c r="C173" s="299"/>
      <c r="D173" s="300"/>
      <c r="E173" s="300"/>
      <c r="F173" s="295"/>
      <c r="G173" s="297" t="str">
        <f>IF(L165=0,"",+"AND CENTS "&amp;L166&amp;" ")</f>
        <v>AND CENTS TWENTY </v>
      </c>
      <c r="H173" s="295"/>
      <c r="I173" s="309"/>
      <c r="J173" s="295"/>
      <c r="K173" s="310"/>
      <c r="L173" s="295"/>
      <c r="M173" s="312"/>
      <c r="N173" s="313"/>
      <c r="O173" s="295"/>
    </row>
    <row r="174" s="231" customFormat="1" ht="15.75" hidden="1" spans="1:15">
      <c r="A174" s="295"/>
      <c r="B174" s="295"/>
      <c r="C174" s="299"/>
      <c r="D174" s="300"/>
      <c r="E174" s="300"/>
      <c r="F174" s="295"/>
      <c r="G174" s="297"/>
      <c r="H174" s="295"/>
      <c r="I174" s="309"/>
      <c r="J174" s="295"/>
      <c r="K174" s="310"/>
      <c r="L174" s="295"/>
      <c r="M174" s="312"/>
      <c r="N174" s="313"/>
      <c r="O174" s="295"/>
    </row>
    <row r="175" s="231" customFormat="1" ht="15.75" hidden="1" spans="1:15">
      <c r="A175" s="295"/>
      <c r="B175" s="295"/>
      <c r="C175" s="299"/>
      <c r="D175" s="295"/>
      <c r="E175" s="295"/>
      <c r="F175" s="295"/>
      <c r="G175" s="301" t="str">
        <f>G167&amp;G169&amp;G170&amp;G171&amp;G172&amp;G173&amp;G174</f>
        <v>SAY TOTAL  TWENTY ONE THOUSAND TWO HUNDRED NINETY  SIX AND CENTS TWENTY </v>
      </c>
      <c r="H175" s="301"/>
      <c r="I175" s="301"/>
      <c r="J175" s="301"/>
      <c r="K175" s="301"/>
      <c r="L175" s="301"/>
      <c r="M175" s="301"/>
      <c r="N175" s="301"/>
      <c r="O175" s="301"/>
    </row>
    <row r="176" s="231" customFormat="1" ht="15.75" hidden="1" spans="1:15">
      <c r="A176" s="295">
        <v>0</v>
      </c>
      <c r="B176" s="302" t="s">
        <v>61</v>
      </c>
      <c r="C176" s="299"/>
      <c r="D176" s="295"/>
      <c r="E176" s="295"/>
      <c r="F176" s="295"/>
      <c r="G176" s="301"/>
      <c r="H176" s="301"/>
      <c r="I176" s="301"/>
      <c r="J176" s="301"/>
      <c r="K176" s="301"/>
      <c r="L176" s="301"/>
      <c r="M176" s="301"/>
      <c r="N176" s="301"/>
      <c r="O176" s="301"/>
    </row>
    <row r="177" s="231" customFormat="1" ht="15.75" hidden="1" spans="1:9">
      <c r="A177" s="295">
        <v>1</v>
      </c>
      <c r="B177" s="303" t="s">
        <v>62</v>
      </c>
      <c r="C177" s="299"/>
      <c r="G177" s="304"/>
      <c r="I177" s="314"/>
    </row>
    <row r="178" s="231" customFormat="1" ht="15.75" hidden="1" spans="1:9">
      <c r="A178" s="295">
        <v>2</v>
      </c>
      <c r="B178" s="303" t="s">
        <v>63</v>
      </c>
      <c r="C178" s="299"/>
      <c r="G178" s="304"/>
      <c r="I178" s="314"/>
    </row>
    <row r="179" s="231" customFormat="1" ht="15.75" hidden="1" spans="1:9">
      <c r="A179" s="295">
        <v>3</v>
      </c>
      <c r="B179" s="303" t="s">
        <v>64</v>
      </c>
      <c r="C179" s="296"/>
      <c r="G179" s="304"/>
      <c r="I179" s="314"/>
    </row>
    <row r="180" s="231" customFormat="1" ht="15.75" hidden="1" spans="1:9">
      <c r="A180" s="295">
        <v>4</v>
      </c>
      <c r="B180" s="303" t="s">
        <v>65</v>
      </c>
      <c r="C180" s="296"/>
      <c r="G180" s="304"/>
      <c r="I180" s="314"/>
    </row>
    <row r="181" s="231" customFormat="1" ht="15.75" hidden="1" spans="1:9">
      <c r="A181" s="295">
        <v>5</v>
      </c>
      <c r="B181" s="303" t="s">
        <v>66</v>
      </c>
      <c r="C181" s="296"/>
      <c r="G181" s="304"/>
      <c r="I181" s="314"/>
    </row>
    <row r="182" s="231" customFormat="1" ht="15.75" hidden="1" spans="1:9">
      <c r="A182" s="295">
        <v>6</v>
      </c>
      <c r="B182" s="303" t="s">
        <v>67</v>
      </c>
      <c r="C182" s="296"/>
      <c r="G182" s="304"/>
      <c r="I182" s="314"/>
    </row>
    <row r="183" s="231" customFormat="1" ht="15.75" hidden="1" spans="1:9">
      <c r="A183" s="295">
        <v>7</v>
      </c>
      <c r="B183" s="302" t="s">
        <v>68</v>
      </c>
      <c r="C183" s="296"/>
      <c r="G183" s="304"/>
      <c r="I183" s="314"/>
    </row>
    <row r="184" s="231" customFormat="1" ht="15.75" hidden="1" spans="1:9">
      <c r="A184" s="295">
        <v>8</v>
      </c>
      <c r="B184" s="302" t="s">
        <v>69</v>
      </c>
      <c r="C184" s="296"/>
      <c r="G184" s="304"/>
      <c r="I184" s="314"/>
    </row>
    <row r="185" s="231" customFormat="1" ht="15.75" hidden="1" spans="1:9">
      <c r="A185" s="295">
        <v>9</v>
      </c>
      <c r="B185" s="302" t="s">
        <v>70</v>
      </c>
      <c r="C185" s="296"/>
      <c r="G185" s="304"/>
      <c r="I185" s="314"/>
    </row>
    <row r="186" s="231" customFormat="1" ht="15.75" hidden="1" spans="1:9">
      <c r="A186" s="295">
        <v>10</v>
      </c>
      <c r="B186" s="302" t="s">
        <v>71</v>
      </c>
      <c r="C186" s="296"/>
      <c r="G186" s="304"/>
      <c r="I186" s="314"/>
    </row>
    <row r="187" s="231" customFormat="1" ht="15.75" hidden="1" spans="1:9">
      <c r="A187" s="295">
        <v>11</v>
      </c>
      <c r="B187" s="302" t="s">
        <v>72</v>
      </c>
      <c r="C187" s="296"/>
      <c r="G187" s="304"/>
      <c r="I187" s="314"/>
    </row>
    <row r="188" s="231" customFormat="1" ht="15.75" hidden="1" spans="1:9">
      <c r="A188" s="295">
        <v>12</v>
      </c>
      <c r="B188" s="302" t="s">
        <v>73</v>
      </c>
      <c r="C188" s="296"/>
      <c r="G188" s="304"/>
      <c r="I188" s="314"/>
    </row>
    <row r="189" s="231" customFormat="1" ht="15.75" hidden="1" spans="1:9">
      <c r="A189" s="295">
        <v>13</v>
      </c>
      <c r="B189" s="302" t="s">
        <v>74</v>
      </c>
      <c r="C189" s="296"/>
      <c r="G189" s="304"/>
      <c r="I189" s="314"/>
    </row>
    <row r="190" s="231" customFormat="1" ht="15.75" hidden="1" spans="1:9">
      <c r="A190" s="295">
        <v>14</v>
      </c>
      <c r="B190" s="302" t="s">
        <v>75</v>
      </c>
      <c r="C190" s="296"/>
      <c r="G190" s="304"/>
      <c r="I190" s="314"/>
    </row>
    <row r="191" s="231" customFormat="1" ht="15.75" hidden="1" spans="1:9">
      <c r="A191" s="295">
        <v>15</v>
      </c>
      <c r="B191" s="302" t="s">
        <v>76</v>
      </c>
      <c r="C191" s="296"/>
      <c r="G191" s="304"/>
      <c r="I191" s="314"/>
    </row>
    <row r="192" s="231" customFormat="1" ht="15.75" hidden="1" spans="1:9">
      <c r="A192" s="295">
        <v>16</v>
      </c>
      <c r="B192" s="302" t="s">
        <v>77</v>
      </c>
      <c r="C192" s="296"/>
      <c r="G192" s="304"/>
      <c r="I192" s="314"/>
    </row>
    <row r="193" s="231" customFormat="1" ht="15.75" hidden="1" spans="1:9">
      <c r="A193" s="295">
        <v>17</v>
      </c>
      <c r="B193" s="302" t="s">
        <v>78</v>
      </c>
      <c r="C193" s="296"/>
      <c r="G193" s="304"/>
      <c r="I193" s="314"/>
    </row>
    <row r="194" s="231" customFormat="1" ht="15.75" hidden="1" spans="1:9">
      <c r="A194" s="295">
        <v>18</v>
      </c>
      <c r="B194" s="302" t="s">
        <v>79</v>
      </c>
      <c r="C194" s="296"/>
      <c r="G194" s="304"/>
      <c r="I194" s="314"/>
    </row>
    <row r="195" s="231" customFormat="1" ht="15.75" hidden="1" spans="1:9">
      <c r="A195" s="295">
        <v>19</v>
      </c>
      <c r="B195" s="302" t="s">
        <v>80</v>
      </c>
      <c r="C195" s="296"/>
      <c r="G195" s="304"/>
      <c r="I195" s="314"/>
    </row>
    <row r="196" s="231" customFormat="1" ht="15.75" hidden="1" spans="1:9">
      <c r="A196" s="295">
        <v>20</v>
      </c>
      <c r="B196" s="302" t="s">
        <v>81</v>
      </c>
      <c r="C196" s="296"/>
      <c r="G196" s="304"/>
      <c r="I196" s="314"/>
    </row>
    <row r="197" s="231" customFormat="1" ht="15.75" hidden="1" spans="1:9">
      <c r="A197" s="295">
        <v>21</v>
      </c>
      <c r="B197" s="302" t="s">
        <v>82</v>
      </c>
      <c r="C197" s="296"/>
      <c r="G197" s="304"/>
      <c r="I197" s="314"/>
    </row>
    <row r="198" s="231" customFormat="1" ht="15.75" hidden="1" spans="1:9">
      <c r="A198" s="295">
        <v>22</v>
      </c>
      <c r="B198" s="302" t="s">
        <v>83</v>
      </c>
      <c r="C198" s="296"/>
      <c r="G198" s="304"/>
      <c r="I198" s="314"/>
    </row>
    <row r="199" s="231" customFormat="1" ht="15.75" hidden="1" spans="1:9">
      <c r="A199" s="295">
        <v>23</v>
      </c>
      <c r="B199" s="302" t="s">
        <v>84</v>
      </c>
      <c r="C199" s="296"/>
      <c r="G199" s="304"/>
      <c r="I199" s="314"/>
    </row>
    <row r="200" s="231" customFormat="1" ht="15.75" hidden="1" spans="1:9">
      <c r="A200" s="295">
        <v>24</v>
      </c>
      <c r="B200" s="302" t="s">
        <v>85</v>
      </c>
      <c r="C200" s="296"/>
      <c r="G200" s="304"/>
      <c r="I200" s="314"/>
    </row>
    <row r="201" s="231" customFormat="1" ht="15.75" hidden="1" spans="1:9">
      <c r="A201" s="315">
        <v>25</v>
      </c>
      <c r="B201" s="316" t="s">
        <v>86</v>
      </c>
      <c r="C201" s="296"/>
      <c r="G201" s="304"/>
      <c r="I201" s="314"/>
    </row>
    <row r="202" s="231" customFormat="1" ht="15.75" hidden="1" spans="1:9">
      <c r="A202" s="315">
        <v>26</v>
      </c>
      <c r="B202" s="316" t="s">
        <v>87</v>
      </c>
      <c r="C202" s="296"/>
      <c r="G202" s="304"/>
      <c r="I202" s="314"/>
    </row>
    <row r="203" s="231" customFormat="1" ht="15.75" hidden="1" spans="1:9">
      <c r="A203" s="315">
        <v>27</v>
      </c>
      <c r="B203" s="316" t="s">
        <v>88</v>
      </c>
      <c r="C203" s="296"/>
      <c r="G203" s="304"/>
      <c r="I203" s="314"/>
    </row>
    <row r="204" s="231" customFormat="1" ht="15.75" hidden="1" spans="1:9">
      <c r="A204" s="315">
        <v>28</v>
      </c>
      <c r="B204" s="316" t="s">
        <v>89</v>
      </c>
      <c r="C204" s="296"/>
      <c r="G204" s="304"/>
      <c r="I204" s="314"/>
    </row>
    <row r="205" s="231" customFormat="1" ht="15.75" hidden="1" spans="1:9">
      <c r="A205" s="315">
        <v>29</v>
      </c>
      <c r="B205" s="316" t="s">
        <v>90</v>
      </c>
      <c r="C205" s="296"/>
      <c r="G205" s="304"/>
      <c r="I205" s="314"/>
    </row>
    <row r="206" s="231" customFormat="1" ht="15.75" hidden="1" spans="1:9">
      <c r="A206" s="315">
        <v>30</v>
      </c>
      <c r="B206" s="316" t="s">
        <v>91</v>
      </c>
      <c r="C206" s="296"/>
      <c r="G206" s="304"/>
      <c r="I206" s="314"/>
    </row>
    <row r="207" s="231" customFormat="1" ht="15.75" hidden="1" spans="1:9">
      <c r="A207" s="315">
        <v>31</v>
      </c>
      <c r="B207" s="316" t="s">
        <v>92</v>
      </c>
      <c r="C207" s="296"/>
      <c r="G207" s="304"/>
      <c r="I207" s="314"/>
    </row>
    <row r="208" s="231" customFormat="1" ht="15.75" hidden="1" spans="1:9">
      <c r="A208" s="315">
        <v>32</v>
      </c>
      <c r="B208" s="316" t="s">
        <v>93</v>
      </c>
      <c r="C208" s="296"/>
      <c r="G208" s="304"/>
      <c r="I208" s="314"/>
    </row>
    <row r="209" s="231" customFormat="1" ht="15.75" hidden="1" spans="1:9">
      <c r="A209" s="315">
        <v>33</v>
      </c>
      <c r="B209" s="316" t="s">
        <v>94</v>
      </c>
      <c r="C209" s="296"/>
      <c r="G209" s="304"/>
      <c r="I209" s="314"/>
    </row>
    <row r="210" s="231" customFormat="1" ht="15.75" hidden="1" spans="1:9">
      <c r="A210" s="315">
        <v>34</v>
      </c>
      <c r="B210" s="316" t="s">
        <v>95</v>
      </c>
      <c r="C210" s="296"/>
      <c r="G210" s="304"/>
      <c r="I210" s="314"/>
    </row>
    <row r="211" s="231" customFormat="1" ht="15.75" hidden="1" spans="1:9">
      <c r="A211" s="315">
        <v>35</v>
      </c>
      <c r="B211" s="316" t="s">
        <v>96</v>
      </c>
      <c r="C211" s="296"/>
      <c r="G211" s="304"/>
      <c r="I211" s="314"/>
    </row>
    <row r="212" s="231" customFormat="1" ht="15.75" hidden="1" spans="1:9">
      <c r="A212" s="315">
        <v>36</v>
      </c>
      <c r="B212" s="316" t="s">
        <v>97</v>
      </c>
      <c r="C212" s="296"/>
      <c r="G212" s="304"/>
      <c r="I212" s="314"/>
    </row>
    <row r="213" s="231" customFormat="1" ht="15.75" hidden="1" spans="1:9">
      <c r="A213" s="315">
        <v>37</v>
      </c>
      <c r="B213" s="316" t="s">
        <v>98</v>
      </c>
      <c r="C213" s="296"/>
      <c r="G213" s="304"/>
      <c r="I213" s="314"/>
    </row>
    <row r="214" s="231" customFormat="1" ht="15.75" hidden="1" spans="1:9">
      <c r="A214" s="315">
        <v>38</v>
      </c>
      <c r="B214" s="316" t="s">
        <v>99</v>
      </c>
      <c r="C214" s="296"/>
      <c r="G214" s="304"/>
      <c r="I214" s="314"/>
    </row>
    <row r="215" s="231" customFormat="1" ht="15.75" hidden="1" spans="1:9">
      <c r="A215" s="315">
        <v>39</v>
      </c>
      <c r="B215" s="316" t="s">
        <v>100</v>
      </c>
      <c r="C215" s="296"/>
      <c r="G215" s="304"/>
      <c r="I215" s="314"/>
    </row>
    <row r="216" s="231" customFormat="1" ht="15.75" hidden="1" spans="1:9">
      <c r="A216" s="315">
        <v>40</v>
      </c>
      <c r="B216" s="316" t="s">
        <v>101</v>
      </c>
      <c r="C216" s="296"/>
      <c r="G216" s="304"/>
      <c r="I216" s="314"/>
    </row>
    <row r="217" s="231" customFormat="1" ht="15.75" hidden="1" spans="1:9">
      <c r="A217" s="315">
        <v>41</v>
      </c>
      <c r="B217" s="316" t="s">
        <v>102</v>
      </c>
      <c r="C217" s="296"/>
      <c r="G217" s="304"/>
      <c r="I217" s="314"/>
    </row>
    <row r="218" s="231" customFormat="1" ht="15.75" hidden="1" spans="1:9">
      <c r="A218" s="315">
        <v>42</v>
      </c>
      <c r="B218" s="316" t="s">
        <v>103</v>
      </c>
      <c r="C218" s="296"/>
      <c r="G218" s="304"/>
      <c r="I218" s="314"/>
    </row>
    <row r="219" s="231" customFormat="1" ht="15.75" hidden="1" spans="1:9">
      <c r="A219" s="315">
        <v>43</v>
      </c>
      <c r="B219" s="316" t="s">
        <v>104</v>
      </c>
      <c r="C219" s="296"/>
      <c r="G219" s="304"/>
      <c r="I219" s="314"/>
    </row>
    <row r="220" s="231" customFormat="1" ht="15.75" hidden="1" spans="1:9">
      <c r="A220" s="315">
        <v>44</v>
      </c>
      <c r="B220" s="316" t="s">
        <v>105</v>
      </c>
      <c r="C220" s="296"/>
      <c r="G220" s="304"/>
      <c r="I220" s="314"/>
    </row>
    <row r="221" s="231" customFormat="1" ht="15.75" hidden="1" spans="1:9">
      <c r="A221" s="315">
        <v>45</v>
      </c>
      <c r="B221" s="316" t="s">
        <v>106</v>
      </c>
      <c r="C221" s="296"/>
      <c r="G221" s="304"/>
      <c r="I221" s="314"/>
    </row>
    <row r="222" s="231" customFormat="1" ht="15.75" hidden="1" spans="1:9">
      <c r="A222" s="315">
        <v>46</v>
      </c>
      <c r="B222" s="316" t="s">
        <v>107</v>
      </c>
      <c r="C222" s="296"/>
      <c r="G222" s="304"/>
      <c r="I222" s="314"/>
    </row>
    <row r="223" s="231" customFormat="1" ht="15.75" hidden="1" spans="1:9">
      <c r="A223" s="315">
        <v>47</v>
      </c>
      <c r="B223" s="316" t="s">
        <v>108</v>
      </c>
      <c r="C223" s="296"/>
      <c r="G223" s="304"/>
      <c r="I223" s="314"/>
    </row>
    <row r="224" s="231" customFormat="1" ht="15.75" hidden="1" spans="1:9">
      <c r="A224" s="315">
        <v>48</v>
      </c>
      <c r="B224" s="316" t="s">
        <v>109</v>
      </c>
      <c r="C224" s="296"/>
      <c r="G224" s="304"/>
      <c r="I224" s="314"/>
    </row>
    <row r="225" s="231" customFormat="1" ht="15.75" hidden="1" spans="1:9">
      <c r="A225" s="315">
        <v>49</v>
      </c>
      <c r="B225" s="316" t="s">
        <v>110</v>
      </c>
      <c r="C225" s="296"/>
      <c r="G225" s="304"/>
      <c r="I225" s="314"/>
    </row>
    <row r="226" s="231" customFormat="1" ht="15.75" hidden="1" spans="1:9">
      <c r="A226" s="315">
        <v>50</v>
      </c>
      <c r="B226" s="316" t="s">
        <v>111</v>
      </c>
      <c r="C226" s="296"/>
      <c r="G226" s="304"/>
      <c r="I226" s="314"/>
    </row>
    <row r="227" s="231" customFormat="1" ht="15.75" hidden="1" spans="1:9">
      <c r="A227" s="315">
        <v>51</v>
      </c>
      <c r="B227" s="316" t="s">
        <v>112</v>
      </c>
      <c r="C227" s="296"/>
      <c r="G227" s="304"/>
      <c r="I227" s="314"/>
    </row>
    <row r="228" s="231" customFormat="1" ht="15.75" hidden="1" spans="1:9">
      <c r="A228" s="315">
        <v>52</v>
      </c>
      <c r="B228" s="316" t="s">
        <v>113</v>
      </c>
      <c r="C228" s="296"/>
      <c r="G228" s="304"/>
      <c r="I228" s="314"/>
    </row>
    <row r="229" s="231" customFormat="1" ht="15.75" hidden="1" spans="1:9">
      <c r="A229" s="315">
        <v>53</v>
      </c>
      <c r="B229" s="316" t="s">
        <v>114</v>
      </c>
      <c r="C229" s="296"/>
      <c r="G229" s="304"/>
      <c r="I229" s="314"/>
    </row>
    <row r="230" s="231" customFormat="1" ht="15.75" hidden="1" spans="1:9">
      <c r="A230" s="315">
        <v>54</v>
      </c>
      <c r="B230" s="316" t="s">
        <v>115</v>
      </c>
      <c r="C230" s="296"/>
      <c r="G230" s="304"/>
      <c r="I230" s="314"/>
    </row>
    <row r="231" s="231" customFormat="1" ht="15.75" hidden="1" spans="1:9">
      <c r="A231" s="315">
        <v>55</v>
      </c>
      <c r="B231" s="316" t="s">
        <v>116</v>
      </c>
      <c r="C231" s="296"/>
      <c r="G231" s="304"/>
      <c r="I231" s="314"/>
    </row>
    <row r="232" s="231" customFormat="1" ht="15.75" hidden="1" spans="1:9">
      <c r="A232" s="315">
        <v>56</v>
      </c>
      <c r="B232" s="316" t="s">
        <v>117</v>
      </c>
      <c r="C232" s="296"/>
      <c r="G232" s="304"/>
      <c r="I232" s="314"/>
    </row>
    <row r="233" s="231" customFormat="1" ht="15.75" hidden="1" spans="1:9">
      <c r="A233" s="315">
        <v>57</v>
      </c>
      <c r="B233" s="316" t="s">
        <v>118</v>
      </c>
      <c r="C233" s="296"/>
      <c r="G233" s="304"/>
      <c r="I233" s="314"/>
    </row>
    <row r="234" s="231" customFormat="1" ht="15.75" hidden="1" spans="1:9">
      <c r="A234" s="315">
        <v>58</v>
      </c>
      <c r="B234" s="316" t="s">
        <v>119</v>
      </c>
      <c r="C234" s="296"/>
      <c r="G234" s="304"/>
      <c r="I234" s="314"/>
    </row>
    <row r="235" s="231" customFormat="1" ht="15.75" hidden="1" spans="1:9">
      <c r="A235" s="315">
        <v>59</v>
      </c>
      <c r="B235" s="316" t="s">
        <v>120</v>
      </c>
      <c r="C235" s="296"/>
      <c r="G235" s="304"/>
      <c r="I235" s="314"/>
    </row>
    <row r="236" s="231" customFormat="1" ht="15.75" hidden="1" spans="1:9">
      <c r="A236" s="315">
        <v>60</v>
      </c>
      <c r="B236" s="316" t="s">
        <v>121</v>
      </c>
      <c r="C236" s="296"/>
      <c r="G236" s="304"/>
      <c r="I236" s="314"/>
    </row>
    <row r="237" s="231" customFormat="1" ht="15.75" hidden="1" spans="1:9">
      <c r="A237" s="315">
        <v>61</v>
      </c>
      <c r="B237" s="316" t="s">
        <v>122</v>
      </c>
      <c r="C237" s="296"/>
      <c r="G237" s="304"/>
      <c r="I237" s="314"/>
    </row>
    <row r="238" s="231" customFormat="1" ht="15.75" hidden="1" spans="1:9">
      <c r="A238" s="315">
        <v>62</v>
      </c>
      <c r="B238" s="316" t="s">
        <v>123</v>
      </c>
      <c r="C238" s="296"/>
      <c r="G238" s="304"/>
      <c r="I238" s="314"/>
    </row>
    <row r="239" s="231" customFormat="1" ht="15.75" hidden="1" spans="1:9">
      <c r="A239" s="315">
        <v>63</v>
      </c>
      <c r="B239" s="316" t="s">
        <v>124</v>
      </c>
      <c r="C239" s="296"/>
      <c r="G239" s="304"/>
      <c r="I239" s="314"/>
    </row>
    <row r="240" s="231" customFormat="1" ht="15.75" hidden="1" spans="1:9">
      <c r="A240" s="315">
        <v>64</v>
      </c>
      <c r="B240" s="316" t="s">
        <v>125</v>
      </c>
      <c r="C240" s="296"/>
      <c r="G240" s="304"/>
      <c r="I240" s="314"/>
    </row>
    <row r="241" s="231" customFormat="1" ht="15.75" hidden="1" spans="1:9">
      <c r="A241" s="315">
        <v>65</v>
      </c>
      <c r="B241" s="316" t="s">
        <v>126</v>
      </c>
      <c r="C241" s="296"/>
      <c r="G241" s="304"/>
      <c r="I241" s="314"/>
    </row>
    <row r="242" s="231" customFormat="1" ht="15.75" hidden="1" spans="1:9">
      <c r="A242" s="315">
        <v>66</v>
      </c>
      <c r="B242" s="316" t="s">
        <v>127</v>
      </c>
      <c r="C242" s="296"/>
      <c r="G242" s="304"/>
      <c r="I242" s="314"/>
    </row>
    <row r="243" s="231" customFormat="1" ht="15.75" hidden="1" spans="1:9">
      <c r="A243" s="315">
        <v>67</v>
      </c>
      <c r="B243" s="316" t="s">
        <v>128</v>
      </c>
      <c r="C243" s="296"/>
      <c r="G243" s="304"/>
      <c r="I243" s="314"/>
    </row>
    <row r="244" s="231" customFormat="1" ht="15.75" hidden="1" spans="1:9">
      <c r="A244" s="315">
        <v>68</v>
      </c>
      <c r="B244" s="316" t="s">
        <v>129</v>
      </c>
      <c r="C244" s="296"/>
      <c r="G244" s="304"/>
      <c r="I244" s="314"/>
    </row>
    <row r="245" s="231" customFormat="1" ht="15.75" hidden="1" spans="1:9">
      <c r="A245" s="315">
        <v>69</v>
      </c>
      <c r="B245" s="316" t="s">
        <v>130</v>
      </c>
      <c r="C245" s="296"/>
      <c r="G245" s="304"/>
      <c r="I245" s="314"/>
    </row>
    <row r="246" s="231" customFormat="1" ht="15.75" hidden="1" spans="1:9">
      <c r="A246" s="315">
        <v>70</v>
      </c>
      <c r="B246" s="316" t="s">
        <v>131</v>
      </c>
      <c r="C246" s="296"/>
      <c r="G246" s="304"/>
      <c r="I246" s="314"/>
    </row>
    <row r="247" s="231" customFormat="1" ht="15.75" hidden="1" spans="1:9">
      <c r="A247" s="315">
        <v>71</v>
      </c>
      <c r="B247" s="316" t="s">
        <v>132</v>
      </c>
      <c r="C247" s="296"/>
      <c r="G247" s="304"/>
      <c r="I247" s="314"/>
    </row>
    <row r="248" s="231" customFormat="1" ht="15.75" hidden="1" spans="1:9">
      <c r="A248" s="315">
        <v>72</v>
      </c>
      <c r="B248" s="316" t="s">
        <v>133</v>
      </c>
      <c r="C248" s="296"/>
      <c r="G248" s="304"/>
      <c r="I248" s="314"/>
    </row>
    <row r="249" s="231" customFormat="1" ht="15.75" hidden="1" spans="1:9">
      <c r="A249" s="315">
        <v>73</v>
      </c>
      <c r="B249" s="316" t="s">
        <v>134</v>
      </c>
      <c r="C249" s="296"/>
      <c r="G249" s="304"/>
      <c r="I249" s="314"/>
    </row>
    <row r="250" s="231" customFormat="1" ht="15.75" hidden="1" spans="1:9">
      <c r="A250" s="315">
        <v>74</v>
      </c>
      <c r="B250" s="316" t="s">
        <v>135</v>
      </c>
      <c r="C250" s="296"/>
      <c r="G250" s="304"/>
      <c r="I250" s="314"/>
    </row>
    <row r="251" s="231" customFormat="1" ht="15.75" hidden="1" spans="1:9">
      <c r="A251" s="315">
        <v>75</v>
      </c>
      <c r="B251" s="316" t="s">
        <v>136</v>
      </c>
      <c r="C251" s="296"/>
      <c r="G251" s="304"/>
      <c r="I251" s="314"/>
    </row>
    <row r="252" s="231" customFormat="1" ht="15.75" hidden="1" spans="1:9">
      <c r="A252" s="315">
        <v>76</v>
      </c>
      <c r="B252" s="316" t="s">
        <v>137</v>
      </c>
      <c r="C252" s="296"/>
      <c r="G252" s="304"/>
      <c r="I252" s="314"/>
    </row>
    <row r="253" s="231" customFormat="1" ht="15.75" hidden="1" spans="1:9">
      <c r="A253" s="315">
        <v>77</v>
      </c>
      <c r="B253" s="316" t="s">
        <v>138</v>
      </c>
      <c r="C253" s="296"/>
      <c r="G253" s="304"/>
      <c r="I253" s="314"/>
    </row>
    <row r="254" s="231" customFormat="1" ht="15.75" hidden="1" spans="1:9">
      <c r="A254" s="315">
        <v>78</v>
      </c>
      <c r="B254" s="316" t="s">
        <v>139</v>
      </c>
      <c r="C254" s="296"/>
      <c r="G254" s="304"/>
      <c r="I254" s="314"/>
    </row>
    <row r="255" s="231" customFormat="1" ht="15.75" hidden="1" spans="1:9">
      <c r="A255" s="315">
        <v>79</v>
      </c>
      <c r="B255" s="316" t="s">
        <v>140</v>
      </c>
      <c r="C255" s="296"/>
      <c r="G255" s="304"/>
      <c r="I255" s="314"/>
    </row>
    <row r="256" s="231" customFormat="1" ht="15.75" hidden="1" spans="1:9">
      <c r="A256" s="315">
        <v>80</v>
      </c>
      <c r="B256" s="316" t="s">
        <v>141</v>
      </c>
      <c r="C256" s="296"/>
      <c r="G256" s="304"/>
      <c r="I256" s="314"/>
    </row>
    <row r="257" s="231" customFormat="1" ht="15.75" hidden="1" spans="1:9">
      <c r="A257" s="315">
        <v>81</v>
      </c>
      <c r="B257" s="316" t="s">
        <v>142</v>
      </c>
      <c r="C257" s="296"/>
      <c r="G257" s="304"/>
      <c r="I257" s="314"/>
    </row>
    <row r="258" s="231" customFormat="1" ht="15.75" hidden="1" spans="1:9">
      <c r="A258" s="315">
        <v>82</v>
      </c>
      <c r="B258" s="316" t="s">
        <v>143</v>
      </c>
      <c r="C258" s="296"/>
      <c r="G258" s="304"/>
      <c r="I258" s="314"/>
    </row>
    <row r="259" s="231" customFormat="1" ht="15.75" hidden="1" spans="1:9">
      <c r="A259" s="315">
        <v>83</v>
      </c>
      <c r="B259" s="316" t="s">
        <v>144</v>
      </c>
      <c r="C259" s="296"/>
      <c r="G259" s="304"/>
      <c r="I259" s="314"/>
    </row>
    <row r="260" s="231" customFormat="1" ht="15.75" hidden="1" spans="1:9">
      <c r="A260" s="315">
        <v>84</v>
      </c>
      <c r="B260" s="316" t="s">
        <v>145</v>
      </c>
      <c r="C260" s="296"/>
      <c r="G260" s="304"/>
      <c r="I260" s="314"/>
    </row>
    <row r="261" s="231" customFormat="1" ht="15.75" hidden="1" spans="1:9">
      <c r="A261" s="315">
        <v>85</v>
      </c>
      <c r="B261" s="316" t="s">
        <v>146</v>
      </c>
      <c r="C261" s="296"/>
      <c r="G261" s="304"/>
      <c r="I261" s="314"/>
    </row>
    <row r="262" s="231" customFormat="1" ht="15.75" hidden="1" spans="1:9">
      <c r="A262" s="315">
        <v>86</v>
      </c>
      <c r="B262" s="316" t="s">
        <v>147</v>
      </c>
      <c r="C262" s="296"/>
      <c r="G262" s="304"/>
      <c r="I262" s="314"/>
    </row>
    <row r="263" s="231" customFormat="1" ht="15.75" hidden="1" spans="1:9">
      <c r="A263" s="315">
        <v>87</v>
      </c>
      <c r="B263" s="316" t="s">
        <v>148</v>
      </c>
      <c r="C263" s="296"/>
      <c r="G263" s="304"/>
      <c r="I263" s="314"/>
    </row>
    <row r="264" s="231" customFormat="1" ht="15.75" hidden="1" spans="1:9">
      <c r="A264" s="315">
        <v>88</v>
      </c>
      <c r="B264" s="316" t="s">
        <v>149</v>
      </c>
      <c r="C264" s="296"/>
      <c r="G264" s="304"/>
      <c r="I264" s="314"/>
    </row>
    <row r="265" s="231" customFormat="1" ht="15.75" hidden="1" spans="1:9">
      <c r="A265" s="315">
        <v>89</v>
      </c>
      <c r="B265" s="316" t="s">
        <v>150</v>
      </c>
      <c r="C265" s="296"/>
      <c r="G265" s="304"/>
      <c r="I265" s="314"/>
    </row>
    <row r="266" s="231" customFormat="1" ht="15.75" hidden="1" spans="1:9">
      <c r="A266" s="315">
        <v>90</v>
      </c>
      <c r="B266" s="316" t="s">
        <v>151</v>
      </c>
      <c r="C266" s="296"/>
      <c r="G266" s="304"/>
      <c r="I266" s="314"/>
    </row>
    <row r="267" s="231" customFormat="1" ht="15.75" hidden="1" spans="1:9">
      <c r="A267" s="315">
        <v>91</v>
      </c>
      <c r="B267" s="316" t="s">
        <v>152</v>
      </c>
      <c r="C267" s="296"/>
      <c r="G267" s="304"/>
      <c r="I267" s="314"/>
    </row>
    <row r="268" s="231" customFormat="1" ht="15.75" hidden="1" spans="1:9">
      <c r="A268" s="315">
        <v>92</v>
      </c>
      <c r="B268" s="316" t="s">
        <v>153</v>
      </c>
      <c r="C268" s="296"/>
      <c r="G268" s="304"/>
      <c r="I268" s="314"/>
    </row>
    <row r="269" s="231" customFormat="1" ht="15.75" hidden="1" spans="1:9">
      <c r="A269" s="315">
        <v>93</v>
      </c>
      <c r="B269" s="316" t="s">
        <v>154</v>
      </c>
      <c r="C269" s="296"/>
      <c r="G269" s="304"/>
      <c r="I269" s="314"/>
    </row>
    <row r="270" s="231" customFormat="1" ht="15.75" hidden="1" spans="1:9">
      <c r="A270" s="315">
        <v>94</v>
      </c>
      <c r="B270" s="316" t="s">
        <v>155</v>
      </c>
      <c r="C270" s="296"/>
      <c r="G270" s="304"/>
      <c r="I270" s="314"/>
    </row>
    <row r="271" s="231" customFormat="1" ht="15.75" hidden="1" spans="1:9">
      <c r="A271" s="315">
        <v>95</v>
      </c>
      <c r="B271" s="316" t="s">
        <v>156</v>
      </c>
      <c r="C271" s="296"/>
      <c r="G271" s="304"/>
      <c r="I271" s="314"/>
    </row>
    <row r="272" s="231" customFormat="1" ht="15.75" hidden="1" spans="1:9">
      <c r="A272" s="315">
        <v>96</v>
      </c>
      <c r="B272" s="316" t="s">
        <v>157</v>
      </c>
      <c r="C272" s="296"/>
      <c r="G272" s="304"/>
      <c r="I272" s="314"/>
    </row>
    <row r="273" s="231" customFormat="1" ht="15.75" hidden="1" spans="1:9">
      <c r="A273" s="315">
        <v>97</v>
      </c>
      <c r="B273" s="316" t="s">
        <v>158</v>
      </c>
      <c r="C273" s="296"/>
      <c r="G273" s="304"/>
      <c r="I273" s="314"/>
    </row>
    <row r="274" s="231" customFormat="1" ht="15.75" hidden="1" spans="1:9">
      <c r="A274" s="315">
        <v>98</v>
      </c>
      <c r="B274" s="316" t="s">
        <v>159</v>
      </c>
      <c r="C274" s="296"/>
      <c r="G274" s="304"/>
      <c r="I274" s="314"/>
    </row>
    <row r="275" s="231" customFormat="1" ht="15.75" hidden="1" spans="1:9">
      <c r="A275" s="315">
        <v>99</v>
      </c>
      <c r="B275" s="316" t="s">
        <v>160</v>
      </c>
      <c r="C275" s="296"/>
      <c r="G275" s="304"/>
      <c r="I275" s="314"/>
    </row>
    <row r="276" s="231" customFormat="1" ht="15.75" spans="1:9">
      <c r="A276" s="315"/>
      <c r="B276" s="316"/>
      <c r="C276" s="296"/>
      <c r="G276" s="304"/>
      <c r="I276" s="314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6"/>
  <sheetViews>
    <sheetView tabSelected="1" view="pageBreakPreview" zoomScaleNormal="120" zoomScaleSheetLayoutView="100" workbookViewId="0">
      <selection activeCell="H13" sqref="H13:K13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5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8" t="str">
        <f>INV!H14</f>
        <v>26HT1202010C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67"/>
      <c r="AF2" s="11" t="s">
        <v>6</v>
      </c>
      <c r="AG2" s="186">
        <f>INV!H13</f>
        <v>46187</v>
      </c>
      <c r="AH2" s="128"/>
      <c r="AI2" s="128"/>
      <c r="AJ2" s="128"/>
      <c r="AK2" s="187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9" t="str">
        <f>INV!B26</f>
        <v>PO 00074681</v>
      </c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68"/>
      <c r="AF3" s="15" t="s">
        <v>167</v>
      </c>
      <c r="AG3" s="129">
        <v>6204330000</v>
      </c>
      <c r="AH3" s="129"/>
      <c r="AI3" s="129"/>
      <c r="AJ3" s="129"/>
      <c r="AK3" s="188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89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90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90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91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3"/>
      <c r="J8" s="133"/>
      <c r="K8" s="134"/>
      <c r="L8" s="135" t="s">
        <v>175</v>
      </c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92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7"/>
      <c r="J9" s="137"/>
      <c r="K9" s="138"/>
      <c r="L9" s="139" t="s">
        <v>177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93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94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2" t="s">
        <v>184</v>
      </c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95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4"/>
      <c r="J12" s="144"/>
      <c r="K12" s="145"/>
      <c r="L12" s="146" t="s">
        <v>188</v>
      </c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69"/>
      <c r="AF12" s="170" t="s">
        <v>189</v>
      </c>
      <c r="AG12" s="170"/>
      <c r="AH12" s="196" t="s">
        <v>190</v>
      </c>
      <c r="AI12" s="196"/>
      <c r="AJ12" s="196"/>
      <c r="AK12" s="197"/>
    </row>
    <row r="13" s="2" customFormat="1" ht="22" customHeight="1" spans="1:37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8"/>
      <c r="J13" s="148"/>
      <c r="K13" s="148"/>
      <c r="L13" s="149" t="str">
        <f>IF(I2="","",I2)</f>
        <v>26HT1202010C</v>
      </c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71"/>
      <c r="AF13" s="172" t="s">
        <v>193</v>
      </c>
      <c r="AG13" s="172"/>
      <c r="AH13" s="198"/>
      <c r="AI13" s="198"/>
      <c r="AJ13" s="198"/>
      <c r="AK13" s="199"/>
    </row>
    <row r="14" s="2" customFormat="1" ht="22" customHeight="1" spans="1:37">
      <c r="A14" s="46" t="s">
        <v>194</v>
      </c>
      <c r="B14" s="47"/>
      <c r="C14" s="48" t="s">
        <v>195</v>
      </c>
      <c r="D14" s="47" t="str">
        <f>"ORDER NO"&amp;" - "&amp;I3</f>
        <v>ORDER NO - PO 00074681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3"/>
      <c r="AF14" s="174"/>
      <c r="AG14" s="200"/>
      <c r="AH14" s="200"/>
      <c r="AI14" s="200"/>
      <c r="AJ14" s="200"/>
      <c r="AK14" s="201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5"/>
      <c r="AF15" s="176"/>
      <c r="AG15" s="144"/>
      <c r="AH15" s="144"/>
      <c r="AI15" s="144"/>
      <c r="AJ15" s="144"/>
      <c r="AK15" s="202"/>
    </row>
    <row r="16" s="2" customFormat="1" ht="22" customHeight="1" spans="1:37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51" t="s">
        <v>202</v>
      </c>
      <c r="J16" s="151" t="s">
        <v>203</v>
      </c>
      <c r="K16" s="151" t="s">
        <v>204</v>
      </c>
      <c r="L16" s="151" t="s">
        <v>205</v>
      </c>
      <c r="M16" s="151" t="s">
        <v>206</v>
      </c>
      <c r="N16" s="151" t="s">
        <v>207</v>
      </c>
      <c r="O16" s="151" t="s">
        <v>208</v>
      </c>
      <c r="P16" s="151" t="s">
        <v>209</v>
      </c>
      <c r="Q16" s="151" t="s">
        <v>210</v>
      </c>
      <c r="R16" s="151" t="s">
        <v>211</v>
      </c>
      <c r="S16" s="151" t="s">
        <v>212</v>
      </c>
      <c r="T16" s="151" t="s">
        <v>213</v>
      </c>
      <c r="U16" s="151" t="s">
        <v>214</v>
      </c>
      <c r="V16" s="151" t="s">
        <v>215</v>
      </c>
      <c r="W16" s="151" t="s">
        <v>216</v>
      </c>
      <c r="X16" s="151" t="s">
        <v>217</v>
      </c>
      <c r="Y16" s="151" t="s">
        <v>218</v>
      </c>
      <c r="Z16" s="151" t="s">
        <v>219</v>
      </c>
      <c r="AA16" s="151" t="s">
        <v>220</v>
      </c>
      <c r="AB16" s="151" t="s">
        <v>221</v>
      </c>
      <c r="AC16" s="151" t="s">
        <v>222</v>
      </c>
      <c r="AD16" s="151" t="s">
        <v>223</v>
      </c>
      <c r="AE16" s="151" t="s">
        <v>224</v>
      </c>
      <c r="AF16" s="173" t="s">
        <v>225</v>
      </c>
      <c r="AG16" s="203" t="s">
        <v>226</v>
      </c>
      <c r="AH16" s="203" t="s">
        <v>227</v>
      </c>
      <c r="AI16" s="203" t="s">
        <v>228</v>
      </c>
      <c r="AJ16" s="203" t="s">
        <v>229</v>
      </c>
      <c r="AK16" s="204" t="s">
        <v>230</v>
      </c>
    </row>
    <row r="17" s="3" customFormat="1" ht="22" customHeight="1" spans="1:37">
      <c r="A17" s="58">
        <v>1</v>
      </c>
      <c r="B17" s="59" t="str">
        <f t="shared" ref="B17:B32" si="0">IF(A17="","","TO")</f>
        <v>TO</v>
      </c>
      <c r="C17" s="60">
        <v>1</v>
      </c>
      <c r="D17" s="61">
        <f t="shared" ref="D17:D22" si="1">C17-A17+1</f>
        <v>1</v>
      </c>
      <c r="E17" s="62" t="s">
        <v>231</v>
      </c>
      <c r="F17" s="63"/>
      <c r="G17" s="64">
        <v>20000</v>
      </c>
      <c r="H17" s="65">
        <v>7</v>
      </c>
      <c r="I17" s="65"/>
      <c r="J17" s="65">
        <v>2</v>
      </c>
      <c r="K17" s="65"/>
      <c r="L17" s="65">
        <v>5</v>
      </c>
      <c r="M17" s="65"/>
      <c r="N17" s="65"/>
      <c r="O17" s="65"/>
      <c r="P17" s="65"/>
      <c r="Q17" s="65"/>
      <c r="R17" s="153"/>
      <c r="S17" s="153"/>
      <c r="T17" s="153"/>
      <c r="U17" s="76"/>
      <c r="V17" s="153"/>
      <c r="W17" s="153"/>
      <c r="X17" s="153"/>
      <c r="Y17" s="76"/>
      <c r="Z17" s="153"/>
      <c r="AA17" s="153"/>
      <c r="AB17" s="153"/>
      <c r="AC17" s="76"/>
      <c r="AD17" s="76"/>
      <c r="AE17" s="177"/>
      <c r="AF17" s="178">
        <f t="shared" ref="AF17:AF32" si="2">IF(A17="","",ROUNDUP(SUM(AH17/2),0))</f>
        <v>7</v>
      </c>
      <c r="AG17" s="205">
        <f t="shared" ref="AG17:AG32" si="3">IF(A17="","",ROUNDDOWN(SUM(AH17/2),0))</f>
        <v>7</v>
      </c>
      <c r="AH17" s="205">
        <f t="shared" ref="AH17:AH32" si="4">IF(D17="","",SUM(SUM(H17:AE17)*D17))</f>
        <v>14</v>
      </c>
      <c r="AI17" s="206">
        <v>10.5</v>
      </c>
      <c r="AJ17" s="206">
        <v>9.5</v>
      </c>
      <c r="AK17" s="207" t="s">
        <v>232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2</v>
      </c>
      <c r="D18" s="61">
        <f t="shared" si="1"/>
        <v>1</v>
      </c>
      <c r="E18" s="68" t="s">
        <v>231</v>
      </c>
      <c r="F18" s="69"/>
      <c r="G18" s="64">
        <v>20000</v>
      </c>
      <c r="H18" s="65"/>
      <c r="I18" s="65">
        <v>10</v>
      </c>
      <c r="J18" s="65"/>
      <c r="K18" s="65"/>
      <c r="L18" s="65"/>
      <c r="M18" s="65"/>
      <c r="N18" s="65">
        <v>4</v>
      </c>
      <c r="O18" s="65"/>
      <c r="P18" s="65"/>
      <c r="Q18" s="65"/>
      <c r="R18" s="153"/>
      <c r="S18" s="153"/>
      <c r="T18" s="153"/>
      <c r="U18" s="76"/>
      <c r="V18" s="153"/>
      <c r="W18" s="153"/>
      <c r="X18" s="153"/>
      <c r="Y18" s="76"/>
      <c r="Z18" s="153"/>
      <c r="AA18" s="153"/>
      <c r="AB18" s="153"/>
      <c r="AC18" s="76"/>
      <c r="AD18" s="76"/>
      <c r="AE18" s="177"/>
      <c r="AF18" s="178">
        <f t="shared" si="2"/>
        <v>7</v>
      </c>
      <c r="AG18" s="205">
        <f t="shared" si="3"/>
        <v>7</v>
      </c>
      <c r="AH18" s="205">
        <f t="shared" si="4"/>
        <v>14</v>
      </c>
      <c r="AI18" s="206">
        <v>10</v>
      </c>
      <c r="AJ18" s="206">
        <v>9</v>
      </c>
      <c r="AK18" s="207" t="s">
        <v>232</v>
      </c>
    </row>
    <row r="19" s="3" customFormat="1" ht="22" customHeight="1" spans="1:37">
      <c r="A19" s="66">
        <v>3</v>
      </c>
      <c r="B19" s="67" t="str">
        <f t="shared" si="0"/>
        <v>TO</v>
      </c>
      <c r="C19" s="60">
        <v>3</v>
      </c>
      <c r="D19" s="61">
        <f t="shared" si="1"/>
        <v>1</v>
      </c>
      <c r="E19" s="68" t="s">
        <v>231</v>
      </c>
      <c r="F19" s="69"/>
      <c r="G19" s="64">
        <v>20000</v>
      </c>
      <c r="H19" s="65"/>
      <c r="I19" s="65"/>
      <c r="J19" s="65">
        <v>14</v>
      </c>
      <c r="K19" s="65"/>
      <c r="L19" s="65"/>
      <c r="M19" s="65"/>
      <c r="N19" s="65"/>
      <c r="O19" s="65"/>
      <c r="P19" s="65"/>
      <c r="Q19" s="65"/>
      <c r="R19" s="153"/>
      <c r="S19" s="153"/>
      <c r="T19" s="153"/>
      <c r="U19" s="76"/>
      <c r="V19" s="153"/>
      <c r="W19" s="153"/>
      <c r="X19" s="153"/>
      <c r="Y19" s="76"/>
      <c r="Z19" s="153"/>
      <c r="AA19" s="153"/>
      <c r="AB19" s="153"/>
      <c r="AC19" s="76"/>
      <c r="AD19" s="76"/>
      <c r="AE19" s="177"/>
      <c r="AF19" s="178">
        <f t="shared" si="2"/>
        <v>7</v>
      </c>
      <c r="AG19" s="205">
        <f t="shared" si="3"/>
        <v>7</v>
      </c>
      <c r="AH19" s="205">
        <f t="shared" si="4"/>
        <v>14</v>
      </c>
      <c r="AI19" s="206">
        <v>10</v>
      </c>
      <c r="AJ19" s="206">
        <v>9</v>
      </c>
      <c r="AK19" s="207" t="s">
        <v>232</v>
      </c>
    </row>
    <row r="20" s="3" customFormat="1" ht="22" customHeight="1" spans="1:37">
      <c r="A20" s="66">
        <v>4</v>
      </c>
      <c r="B20" s="67" t="str">
        <f t="shared" si="0"/>
        <v>TO</v>
      </c>
      <c r="C20" s="60">
        <v>4</v>
      </c>
      <c r="D20" s="61">
        <f t="shared" si="1"/>
        <v>1</v>
      </c>
      <c r="E20" s="68" t="s">
        <v>231</v>
      </c>
      <c r="F20" s="69"/>
      <c r="G20" s="64">
        <v>20000</v>
      </c>
      <c r="H20" s="65"/>
      <c r="I20" s="65"/>
      <c r="J20" s="65"/>
      <c r="K20" s="65">
        <v>14</v>
      </c>
      <c r="L20" s="65"/>
      <c r="M20" s="65"/>
      <c r="N20" s="65"/>
      <c r="O20" s="65"/>
      <c r="P20" s="65"/>
      <c r="Q20" s="65"/>
      <c r="R20" s="153"/>
      <c r="S20" s="153"/>
      <c r="T20" s="153"/>
      <c r="U20" s="76"/>
      <c r="V20" s="153"/>
      <c r="W20" s="153"/>
      <c r="X20" s="153"/>
      <c r="Y20" s="76"/>
      <c r="Z20" s="153"/>
      <c r="AA20" s="153"/>
      <c r="AB20" s="153"/>
      <c r="AC20" s="76"/>
      <c r="AD20" s="76"/>
      <c r="AE20" s="177"/>
      <c r="AF20" s="178">
        <f t="shared" si="2"/>
        <v>7</v>
      </c>
      <c r="AG20" s="205">
        <f t="shared" si="3"/>
        <v>7</v>
      </c>
      <c r="AH20" s="205">
        <f t="shared" si="4"/>
        <v>14</v>
      </c>
      <c r="AI20" s="206">
        <v>11</v>
      </c>
      <c r="AJ20" s="206">
        <v>10</v>
      </c>
      <c r="AK20" s="207" t="s">
        <v>232</v>
      </c>
    </row>
    <row r="21" s="3" customFormat="1" ht="22" customHeight="1" spans="1:37">
      <c r="A21" s="66">
        <v>5</v>
      </c>
      <c r="B21" s="67" t="str">
        <f t="shared" si="0"/>
        <v>TO</v>
      </c>
      <c r="C21" s="60">
        <v>5</v>
      </c>
      <c r="D21" s="61">
        <f t="shared" si="1"/>
        <v>1</v>
      </c>
      <c r="E21" s="68" t="s">
        <v>231</v>
      </c>
      <c r="F21" s="69"/>
      <c r="G21" s="64">
        <v>20000</v>
      </c>
      <c r="H21" s="65"/>
      <c r="I21" s="65"/>
      <c r="J21" s="65"/>
      <c r="K21" s="152">
        <v>12</v>
      </c>
      <c r="L21" s="65"/>
      <c r="M21" s="65"/>
      <c r="N21" s="65"/>
      <c r="O21" s="65"/>
      <c r="P21" s="65"/>
      <c r="Q21" s="65"/>
      <c r="R21" s="153"/>
      <c r="S21" s="153"/>
      <c r="T21" s="153"/>
      <c r="U21" s="76"/>
      <c r="V21" s="153"/>
      <c r="W21" s="153"/>
      <c r="X21" s="153"/>
      <c r="Y21" s="76"/>
      <c r="Z21" s="153"/>
      <c r="AA21" s="153"/>
      <c r="AB21" s="153"/>
      <c r="AC21" s="76"/>
      <c r="AD21" s="76"/>
      <c r="AE21" s="177"/>
      <c r="AF21" s="178">
        <f t="shared" si="2"/>
        <v>6</v>
      </c>
      <c r="AG21" s="205">
        <f t="shared" si="3"/>
        <v>6</v>
      </c>
      <c r="AH21" s="205">
        <f t="shared" si="4"/>
        <v>12</v>
      </c>
      <c r="AI21" s="206">
        <v>10</v>
      </c>
      <c r="AJ21" s="206">
        <v>9</v>
      </c>
      <c r="AK21" s="207" t="s">
        <v>232</v>
      </c>
    </row>
    <row r="22" s="3" customFormat="1" ht="22" customHeight="1" spans="1:37">
      <c r="A22" s="66">
        <v>6</v>
      </c>
      <c r="B22" s="67" t="str">
        <f t="shared" si="0"/>
        <v>TO</v>
      </c>
      <c r="C22" s="60">
        <v>6</v>
      </c>
      <c r="D22" s="61">
        <f t="shared" si="1"/>
        <v>1</v>
      </c>
      <c r="E22" s="68" t="s">
        <v>231</v>
      </c>
      <c r="F22" s="69"/>
      <c r="G22" s="64">
        <v>20000</v>
      </c>
      <c r="H22" s="65"/>
      <c r="I22" s="65"/>
      <c r="J22" s="65"/>
      <c r="K22" s="152"/>
      <c r="L22" s="65">
        <v>14</v>
      </c>
      <c r="M22" s="65"/>
      <c r="N22" s="65"/>
      <c r="O22" s="65"/>
      <c r="P22" s="65"/>
      <c r="Q22" s="65"/>
      <c r="R22" s="153"/>
      <c r="S22" s="153"/>
      <c r="T22" s="153"/>
      <c r="U22" s="76"/>
      <c r="V22" s="153"/>
      <c r="W22" s="153"/>
      <c r="X22" s="153"/>
      <c r="Y22" s="76"/>
      <c r="Z22" s="153"/>
      <c r="AA22" s="153"/>
      <c r="AB22" s="153"/>
      <c r="AC22" s="76"/>
      <c r="AD22" s="76"/>
      <c r="AE22" s="177"/>
      <c r="AF22" s="178">
        <f t="shared" si="2"/>
        <v>7</v>
      </c>
      <c r="AG22" s="205">
        <f t="shared" si="3"/>
        <v>7</v>
      </c>
      <c r="AH22" s="205">
        <f t="shared" si="4"/>
        <v>14</v>
      </c>
      <c r="AI22" s="206">
        <v>11</v>
      </c>
      <c r="AJ22" s="206">
        <v>10</v>
      </c>
      <c r="AK22" s="207" t="s">
        <v>232</v>
      </c>
    </row>
    <row r="23" s="3" customFormat="1" ht="22" customHeight="1" spans="1:37">
      <c r="A23" s="66">
        <v>7</v>
      </c>
      <c r="B23" s="67" t="str">
        <f t="shared" si="0"/>
        <v>TO</v>
      </c>
      <c r="C23" s="60">
        <v>7</v>
      </c>
      <c r="D23" s="61">
        <f t="shared" ref="D23:D37" si="5">C23-A23+1</f>
        <v>1</v>
      </c>
      <c r="E23" s="68" t="s">
        <v>231</v>
      </c>
      <c r="F23" s="69"/>
      <c r="G23" s="64">
        <v>20000</v>
      </c>
      <c r="H23" s="65"/>
      <c r="I23" s="65"/>
      <c r="J23" s="65">
        <v>3</v>
      </c>
      <c r="K23" s="152"/>
      <c r="L23" s="65"/>
      <c r="M23" s="65">
        <v>11</v>
      </c>
      <c r="N23" s="65"/>
      <c r="O23" s="65"/>
      <c r="P23" s="65"/>
      <c r="Q23" s="65"/>
      <c r="R23" s="153"/>
      <c r="S23" s="153"/>
      <c r="T23" s="153"/>
      <c r="U23" s="76"/>
      <c r="V23" s="153"/>
      <c r="W23" s="153"/>
      <c r="X23" s="153"/>
      <c r="Y23" s="76"/>
      <c r="Z23" s="153"/>
      <c r="AA23" s="153"/>
      <c r="AB23" s="153"/>
      <c r="AC23" s="76"/>
      <c r="AD23" s="76"/>
      <c r="AE23" s="177"/>
      <c r="AF23" s="178">
        <f t="shared" si="2"/>
        <v>7</v>
      </c>
      <c r="AG23" s="205">
        <f t="shared" si="3"/>
        <v>7</v>
      </c>
      <c r="AH23" s="205">
        <f t="shared" si="4"/>
        <v>14</v>
      </c>
      <c r="AI23" s="206">
        <v>11</v>
      </c>
      <c r="AJ23" s="206">
        <v>10</v>
      </c>
      <c r="AK23" s="207" t="s">
        <v>232</v>
      </c>
    </row>
    <row r="24" s="3" customFormat="1" ht="22" customHeight="1" spans="1:37">
      <c r="A24" s="66">
        <v>8</v>
      </c>
      <c r="B24" s="67" t="str">
        <f t="shared" si="0"/>
        <v>TO</v>
      </c>
      <c r="C24" s="60">
        <v>8</v>
      </c>
      <c r="D24" s="61">
        <f t="shared" si="5"/>
        <v>1</v>
      </c>
      <c r="E24" s="68" t="s">
        <v>231</v>
      </c>
      <c r="F24" s="69"/>
      <c r="G24" s="64">
        <v>20000</v>
      </c>
      <c r="H24" s="70"/>
      <c r="I24" s="153"/>
      <c r="J24" s="153"/>
      <c r="K24" s="153"/>
      <c r="L24" s="153"/>
      <c r="M24" s="153"/>
      <c r="N24" s="153"/>
      <c r="O24" s="153">
        <v>14</v>
      </c>
      <c r="P24" s="76"/>
      <c r="Q24" s="153"/>
      <c r="R24" s="153"/>
      <c r="S24" s="153"/>
      <c r="T24" s="153"/>
      <c r="U24" s="76"/>
      <c r="V24" s="153"/>
      <c r="W24" s="153"/>
      <c r="X24" s="153"/>
      <c r="Y24" s="76"/>
      <c r="Z24" s="153"/>
      <c r="AA24" s="153"/>
      <c r="AB24" s="153"/>
      <c r="AC24" s="76"/>
      <c r="AD24" s="76"/>
      <c r="AE24" s="177"/>
      <c r="AF24" s="178">
        <f t="shared" si="2"/>
        <v>7</v>
      </c>
      <c r="AG24" s="205">
        <f t="shared" si="3"/>
        <v>7</v>
      </c>
      <c r="AH24" s="205">
        <f t="shared" si="4"/>
        <v>14</v>
      </c>
      <c r="AI24" s="206">
        <v>10</v>
      </c>
      <c r="AJ24" s="206">
        <v>9</v>
      </c>
      <c r="AK24" s="207" t="s">
        <v>232</v>
      </c>
    </row>
    <row r="25" s="3" customFormat="1" ht="22" customHeight="1" spans="1:37">
      <c r="A25" s="66">
        <v>9</v>
      </c>
      <c r="B25" s="67" t="str">
        <f t="shared" ref="B25:B37" si="6">IF(A25="","","TO")</f>
        <v>TO</v>
      </c>
      <c r="C25" s="60">
        <v>13</v>
      </c>
      <c r="D25" s="61">
        <f t="shared" si="5"/>
        <v>5</v>
      </c>
      <c r="E25" s="68" t="s">
        <v>231</v>
      </c>
      <c r="F25" s="69"/>
      <c r="G25" s="64">
        <v>20000</v>
      </c>
      <c r="H25" s="70"/>
      <c r="I25" s="153"/>
      <c r="J25" s="153"/>
      <c r="K25" s="153"/>
      <c r="L25" s="153"/>
      <c r="M25" s="153"/>
      <c r="N25" s="153"/>
      <c r="O25" s="153"/>
      <c r="P25" s="76">
        <v>14</v>
      </c>
      <c r="Q25" s="153"/>
      <c r="R25" s="153"/>
      <c r="S25" s="153"/>
      <c r="T25" s="153"/>
      <c r="U25" s="76"/>
      <c r="V25" s="153"/>
      <c r="W25" s="153"/>
      <c r="X25" s="153"/>
      <c r="Y25" s="76"/>
      <c r="Z25" s="153"/>
      <c r="AA25" s="153"/>
      <c r="AB25" s="153"/>
      <c r="AC25" s="76"/>
      <c r="AD25" s="76"/>
      <c r="AE25" s="177"/>
      <c r="AF25" s="178">
        <f t="shared" si="2"/>
        <v>35</v>
      </c>
      <c r="AG25" s="205">
        <f t="shared" si="3"/>
        <v>35</v>
      </c>
      <c r="AH25" s="205">
        <f t="shared" si="4"/>
        <v>70</v>
      </c>
      <c r="AI25" s="206">
        <v>10</v>
      </c>
      <c r="AJ25" s="206">
        <v>9</v>
      </c>
      <c r="AK25" s="207" t="s">
        <v>232</v>
      </c>
    </row>
    <row r="26" s="3" customFormat="1" ht="22" customHeight="1" spans="1:37">
      <c r="A26" s="66">
        <v>14</v>
      </c>
      <c r="B26" s="67" t="str">
        <f t="shared" si="6"/>
        <v>TO</v>
      </c>
      <c r="C26" s="60">
        <v>23</v>
      </c>
      <c r="D26" s="61">
        <f t="shared" si="5"/>
        <v>10</v>
      </c>
      <c r="E26" s="68" t="s">
        <v>231</v>
      </c>
      <c r="F26" s="69"/>
      <c r="G26" s="64">
        <v>20000</v>
      </c>
      <c r="H26" s="70"/>
      <c r="I26" s="153"/>
      <c r="J26" s="153"/>
      <c r="K26" s="153"/>
      <c r="L26" s="153"/>
      <c r="M26" s="153"/>
      <c r="N26" s="153"/>
      <c r="O26" s="153"/>
      <c r="P26" s="76"/>
      <c r="Q26" s="153">
        <v>14</v>
      </c>
      <c r="R26" s="153"/>
      <c r="S26" s="153"/>
      <c r="T26" s="153"/>
      <c r="U26" s="76"/>
      <c r="V26" s="153"/>
      <c r="W26" s="153"/>
      <c r="X26" s="153"/>
      <c r="Y26" s="76"/>
      <c r="Z26" s="153"/>
      <c r="AA26" s="153"/>
      <c r="AB26" s="153"/>
      <c r="AC26" s="76"/>
      <c r="AD26" s="76"/>
      <c r="AE26" s="177"/>
      <c r="AF26" s="178">
        <f t="shared" si="2"/>
        <v>70</v>
      </c>
      <c r="AG26" s="205">
        <f t="shared" si="3"/>
        <v>70</v>
      </c>
      <c r="AH26" s="205">
        <f t="shared" si="4"/>
        <v>140</v>
      </c>
      <c r="AI26" s="206">
        <v>10</v>
      </c>
      <c r="AJ26" s="206">
        <v>9</v>
      </c>
      <c r="AK26" s="207" t="s">
        <v>232</v>
      </c>
    </row>
    <row r="27" s="3" customFormat="1" ht="22" customHeight="1" spans="1:37">
      <c r="A27" s="66">
        <v>24</v>
      </c>
      <c r="B27" s="67" t="str">
        <f t="shared" si="6"/>
        <v>TO</v>
      </c>
      <c r="C27" s="60">
        <v>35</v>
      </c>
      <c r="D27" s="61">
        <f t="shared" si="5"/>
        <v>12</v>
      </c>
      <c r="E27" s="68" t="s">
        <v>231</v>
      </c>
      <c r="F27" s="69"/>
      <c r="G27" s="64">
        <v>20000</v>
      </c>
      <c r="H27" s="70"/>
      <c r="I27" s="153"/>
      <c r="J27" s="153"/>
      <c r="K27" s="153"/>
      <c r="L27" s="153"/>
      <c r="M27" s="153"/>
      <c r="N27" s="153"/>
      <c r="O27" s="153"/>
      <c r="P27" s="76"/>
      <c r="Q27" s="153"/>
      <c r="R27" s="153">
        <v>14</v>
      </c>
      <c r="S27" s="153"/>
      <c r="T27" s="153"/>
      <c r="U27" s="76"/>
      <c r="V27" s="153"/>
      <c r="W27" s="153"/>
      <c r="X27" s="153"/>
      <c r="Y27" s="76"/>
      <c r="Z27" s="153"/>
      <c r="AA27" s="153"/>
      <c r="AB27" s="153"/>
      <c r="AC27" s="76"/>
      <c r="AD27" s="76"/>
      <c r="AE27" s="177"/>
      <c r="AF27" s="178">
        <f t="shared" si="2"/>
        <v>84</v>
      </c>
      <c r="AG27" s="205">
        <f t="shared" si="3"/>
        <v>84</v>
      </c>
      <c r="AH27" s="205">
        <f t="shared" si="4"/>
        <v>168</v>
      </c>
      <c r="AI27" s="206">
        <v>11</v>
      </c>
      <c r="AJ27" s="206">
        <v>10</v>
      </c>
      <c r="AK27" s="207" t="s">
        <v>232</v>
      </c>
    </row>
    <row r="28" s="3" customFormat="1" ht="22" customHeight="1" spans="1:37">
      <c r="A28" s="66">
        <v>36</v>
      </c>
      <c r="B28" s="67" t="str">
        <f t="shared" si="6"/>
        <v>TO</v>
      </c>
      <c r="C28" s="60">
        <v>46</v>
      </c>
      <c r="D28" s="61">
        <f t="shared" si="5"/>
        <v>11</v>
      </c>
      <c r="E28" s="68" t="s">
        <v>231</v>
      </c>
      <c r="F28" s="69"/>
      <c r="G28" s="64">
        <v>20000</v>
      </c>
      <c r="H28" s="70"/>
      <c r="I28" s="153"/>
      <c r="J28" s="153"/>
      <c r="K28" s="153"/>
      <c r="L28" s="153"/>
      <c r="M28" s="153"/>
      <c r="N28" s="153"/>
      <c r="O28" s="153"/>
      <c r="P28" s="76"/>
      <c r="Q28" s="153"/>
      <c r="R28" s="153"/>
      <c r="S28" s="153">
        <v>14</v>
      </c>
      <c r="T28" s="153"/>
      <c r="U28" s="76"/>
      <c r="V28" s="153"/>
      <c r="W28" s="153"/>
      <c r="X28" s="153"/>
      <c r="Y28" s="76"/>
      <c r="Z28" s="153"/>
      <c r="AA28" s="153"/>
      <c r="AB28" s="153"/>
      <c r="AC28" s="76"/>
      <c r="AD28" s="76"/>
      <c r="AE28" s="177"/>
      <c r="AF28" s="178">
        <f t="shared" si="2"/>
        <v>77</v>
      </c>
      <c r="AG28" s="205">
        <f t="shared" si="3"/>
        <v>77</v>
      </c>
      <c r="AH28" s="205">
        <f t="shared" si="4"/>
        <v>154</v>
      </c>
      <c r="AI28" s="206">
        <v>11</v>
      </c>
      <c r="AJ28" s="206">
        <v>10</v>
      </c>
      <c r="AK28" s="207" t="s">
        <v>232</v>
      </c>
    </row>
    <row r="29" s="3" customFormat="1" ht="22" customHeight="1" spans="1:37">
      <c r="A29" s="66">
        <v>47</v>
      </c>
      <c r="B29" s="67" t="str">
        <f t="shared" si="6"/>
        <v>TO</v>
      </c>
      <c r="C29" s="60">
        <v>47</v>
      </c>
      <c r="D29" s="61">
        <f t="shared" si="5"/>
        <v>1</v>
      </c>
      <c r="E29" s="68" t="s">
        <v>231</v>
      </c>
      <c r="F29" s="69"/>
      <c r="G29" s="64">
        <v>20000</v>
      </c>
      <c r="H29" s="70"/>
      <c r="I29" s="153"/>
      <c r="J29" s="153"/>
      <c r="K29" s="153"/>
      <c r="L29" s="153"/>
      <c r="M29" s="153"/>
      <c r="N29" s="153"/>
      <c r="O29" s="153"/>
      <c r="P29" s="76"/>
      <c r="Q29" s="153"/>
      <c r="R29" s="153"/>
      <c r="S29" s="153">
        <v>13</v>
      </c>
      <c r="T29" s="153"/>
      <c r="U29" s="76"/>
      <c r="V29" s="153"/>
      <c r="W29" s="153"/>
      <c r="X29" s="153"/>
      <c r="Y29" s="76"/>
      <c r="Z29" s="153"/>
      <c r="AA29" s="153"/>
      <c r="AB29" s="153"/>
      <c r="AC29" s="76"/>
      <c r="AD29" s="76"/>
      <c r="AE29" s="177"/>
      <c r="AF29" s="178">
        <f t="shared" si="2"/>
        <v>7</v>
      </c>
      <c r="AG29" s="205">
        <f t="shared" si="3"/>
        <v>6</v>
      </c>
      <c r="AH29" s="205">
        <f t="shared" si="4"/>
        <v>13</v>
      </c>
      <c r="AI29" s="206">
        <v>11</v>
      </c>
      <c r="AJ29" s="206">
        <v>10</v>
      </c>
      <c r="AK29" s="207" t="s">
        <v>232</v>
      </c>
    </row>
    <row r="30" s="3" customFormat="1" ht="22" customHeight="1" spans="1:37">
      <c r="A30" s="66">
        <v>48</v>
      </c>
      <c r="B30" s="67" t="str">
        <f t="shared" si="6"/>
        <v>TO</v>
      </c>
      <c r="C30" s="60">
        <v>55</v>
      </c>
      <c r="D30" s="61">
        <f t="shared" si="5"/>
        <v>8</v>
      </c>
      <c r="E30" s="68" t="s">
        <v>231</v>
      </c>
      <c r="F30" s="69"/>
      <c r="G30" s="64">
        <v>20000</v>
      </c>
      <c r="H30" s="70"/>
      <c r="I30" s="153"/>
      <c r="J30" s="153"/>
      <c r="K30" s="153"/>
      <c r="L30" s="153"/>
      <c r="M30" s="153"/>
      <c r="N30" s="153"/>
      <c r="O30" s="153"/>
      <c r="P30" s="76"/>
      <c r="Q30" s="153"/>
      <c r="R30" s="153"/>
      <c r="S30" s="153"/>
      <c r="T30" s="153">
        <v>14</v>
      </c>
      <c r="U30" s="76"/>
      <c r="V30" s="153"/>
      <c r="W30" s="153"/>
      <c r="X30" s="153"/>
      <c r="Y30" s="76"/>
      <c r="Z30" s="153"/>
      <c r="AA30" s="153"/>
      <c r="AB30" s="153"/>
      <c r="AC30" s="76"/>
      <c r="AD30" s="76"/>
      <c r="AE30" s="177"/>
      <c r="AF30" s="178">
        <f t="shared" si="2"/>
        <v>56</v>
      </c>
      <c r="AG30" s="205">
        <f t="shared" si="3"/>
        <v>56</v>
      </c>
      <c r="AH30" s="205">
        <f t="shared" si="4"/>
        <v>112</v>
      </c>
      <c r="AI30" s="206">
        <v>11.5</v>
      </c>
      <c r="AJ30" s="206">
        <v>10.5</v>
      </c>
      <c r="AK30" s="207" t="s">
        <v>232</v>
      </c>
    </row>
    <row r="31" s="3" customFormat="1" ht="22" customHeight="1" spans="1:37">
      <c r="A31" s="66">
        <v>56</v>
      </c>
      <c r="B31" s="67" t="str">
        <f t="shared" si="6"/>
        <v>TO</v>
      </c>
      <c r="C31" s="60">
        <v>60</v>
      </c>
      <c r="D31" s="61">
        <f t="shared" si="5"/>
        <v>5</v>
      </c>
      <c r="E31" s="68" t="s">
        <v>231</v>
      </c>
      <c r="F31" s="69"/>
      <c r="G31" s="64">
        <v>20000</v>
      </c>
      <c r="H31" s="70"/>
      <c r="I31" s="153"/>
      <c r="J31" s="153"/>
      <c r="K31" s="153"/>
      <c r="L31" s="153"/>
      <c r="M31" s="153"/>
      <c r="N31" s="153"/>
      <c r="O31" s="153"/>
      <c r="P31" s="76"/>
      <c r="Q31" s="153"/>
      <c r="R31" s="153"/>
      <c r="S31" s="153"/>
      <c r="T31" s="153"/>
      <c r="U31" s="76">
        <v>14</v>
      </c>
      <c r="V31" s="153"/>
      <c r="W31" s="153"/>
      <c r="X31" s="153"/>
      <c r="Y31" s="76"/>
      <c r="Z31" s="153"/>
      <c r="AA31" s="153"/>
      <c r="AB31" s="153"/>
      <c r="AC31" s="76"/>
      <c r="AD31" s="76"/>
      <c r="AE31" s="177"/>
      <c r="AF31" s="178">
        <f t="shared" si="2"/>
        <v>35</v>
      </c>
      <c r="AG31" s="205">
        <f t="shared" si="3"/>
        <v>35</v>
      </c>
      <c r="AH31" s="205">
        <f t="shared" si="4"/>
        <v>70</v>
      </c>
      <c r="AI31" s="206">
        <v>11.5</v>
      </c>
      <c r="AJ31" s="206">
        <v>10.5</v>
      </c>
      <c r="AK31" s="207" t="s">
        <v>232</v>
      </c>
    </row>
    <row r="32" s="3" customFormat="1" ht="22" customHeight="1" spans="1:37">
      <c r="A32" s="66">
        <v>61</v>
      </c>
      <c r="B32" s="67" t="str">
        <f t="shared" si="6"/>
        <v>TO</v>
      </c>
      <c r="C32" s="60">
        <v>61</v>
      </c>
      <c r="D32" s="61">
        <f t="shared" si="5"/>
        <v>1</v>
      </c>
      <c r="E32" s="68" t="s">
        <v>231</v>
      </c>
      <c r="F32" s="69"/>
      <c r="G32" s="64">
        <v>20000</v>
      </c>
      <c r="H32" s="70"/>
      <c r="I32" s="153"/>
      <c r="J32" s="153"/>
      <c r="K32" s="153"/>
      <c r="L32" s="153"/>
      <c r="M32" s="153"/>
      <c r="N32" s="153"/>
      <c r="O32" s="153"/>
      <c r="P32" s="76"/>
      <c r="Q32" s="153"/>
      <c r="R32" s="153"/>
      <c r="S32" s="153"/>
      <c r="T32" s="153"/>
      <c r="U32" s="76"/>
      <c r="V32" s="153">
        <v>14</v>
      </c>
      <c r="W32" s="153"/>
      <c r="X32" s="153"/>
      <c r="Y32" s="76"/>
      <c r="Z32" s="153"/>
      <c r="AA32" s="153"/>
      <c r="AB32" s="153"/>
      <c r="AC32" s="76"/>
      <c r="AD32" s="76"/>
      <c r="AE32" s="177"/>
      <c r="AF32" s="178">
        <f t="shared" si="2"/>
        <v>7</v>
      </c>
      <c r="AG32" s="205">
        <f t="shared" si="3"/>
        <v>7</v>
      </c>
      <c r="AH32" s="205">
        <f t="shared" si="4"/>
        <v>14</v>
      </c>
      <c r="AI32" s="206">
        <v>11.5</v>
      </c>
      <c r="AJ32" s="206">
        <v>10.5</v>
      </c>
      <c r="AK32" s="207" t="s">
        <v>232</v>
      </c>
    </row>
    <row r="33" s="3" customFormat="1" ht="22" customHeight="1" spans="1:37">
      <c r="A33" s="66">
        <v>62</v>
      </c>
      <c r="B33" s="67" t="str">
        <f t="shared" si="6"/>
        <v>TO</v>
      </c>
      <c r="C33" s="60">
        <v>62</v>
      </c>
      <c r="D33" s="61">
        <f t="shared" si="5"/>
        <v>1</v>
      </c>
      <c r="E33" s="68" t="s">
        <v>231</v>
      </c>
      <c r="F33" s="69"/>
      <c r="G33" s="64">
        <v>20000</v>
      </c>
      <c r="H33" s="70"/>
      <c r="I33" s="153"/>
      <c r="J33" s="153"/>
      <c r="K33" s="153"/>
      <c r="L33" s="153"/>
      <c r="M33" s="153"/>
      <c r="N33" s="153"/>
      <c r="O33" s="153">
        <v>2</v>
      </c>
      <c r="P33" s="76"/>
      <c r="Q33" s="153"/>
      <c r="R33" s="153"/>
      <c r="S33" s="153"/>
      <c r="T33" s="153"/>
      <c r="U33" s="76"/>
      <c r="V33" s="153">
        <v>11</v>
      </c>
      <c r="W33" s="153"/>
      <c r="X33" s="153"/>
      <c r="Y33" s="76"/>
      <c r="Z33" s="153"/>
      <c r="AA33" s="153"/>
      <c r="AB33" s="153"/>
      <c r="AC33" s="76"/>
      <c r="AD33" s="76"/>
      <c r="AE33" s="177"/>
      <c r="AF33" s="178">
        <f t="shared" ref="AF33:AF48" si="7">IF(A33="","",ROUNDUP(SUM(AH33/2),0))</f>
        <v>7</v>
      </c>
      <c r="AG33" s="205">
        <f t="shared" ref="AG33:AG48" si="8">IF(A33="","",ROUNDDOWN(SUM(AH33/2),0))</f>
        <v>6</v>
      </c>
      <c r="AH33" s="205">
        <f t="shared" ref="AH33:AH48" si="9">IF(D33="","",SUM(SUM(H33:AE33)*D33))</f>
        <v>13</v>
      </c>
      <c r="AI33" s="206">
        <v>11</v>
      </c>
      <c r="AJ33" s="206">
        <v>10</v>
      </c>
      <c r="AK33" s="207" t="s">
        <v>232</v>
      </c>
    </row>
    <row r="34" s="3" customFormat="1" ht="22" customHeight="1" spans="1:37">
      <c r="A34" s="66">
        <v>63</v>
      </c>
      <c r="B34" s="67" t="str">
        <f t="shared" si="6"/>
        <v>TO</v>
      </c>
      <c r="C34" s="60">
        <v>63</v>
      </c>
      <c r="D34" s="61">
        <f t="shared" si="5"/>
        <v>1</v>
      </c>
      <c r="E34" s="68" t="s">
        <v>231</v>
      </c>
      <c r="F34" s="69"/>
      <c r="G34" s="64">
        <v>20000</v>
      </c>
      <c r="H34" s="70"/>
      <c r="I34" s="153"/>
      <c r="J34" s="153"/>
      <c r="K34" s="153"/>
      <c r="L34" s="153"/>
      <c r="M34" s="153"/>
      <c r="N34" s="153"/>
      <c r="O34" s="153"/>
      <c r="P34" s="76"/>
      <c r="Q34" s="153"/>
      <c r="R34" s="153"/>
      <c r="S34" s="153"/>
      <c r="T34" s="153"/>
      <c r="U34" s="76"/>
      <c r="V34" s="153"/>
      <c r="W34" s="153">
        <v>13</v>
      </c>
      <c r="X34" s="153"/>
      <c r="Y34" s="76"/>
      <c r="Z34" s="153"/>
      <c r="AA34" s="153"/>
      <c r="AB34" s="153"/>
      <c r="AC34" s="76"/>
      <c r="AD34" s="76"/>
      <c r="AE34" s="177"/>
      <c r="AF34" s="178">
        <f t="shared" si="7"/>
        <v>7</v>
      </c>
      <c r="AG34" s="205">
        <f t="shared" si="8"/>
        <v>6</v>
      </c>
      <c r="AH34" s="205">
        <f t="shared" si="9"/>
        <v>13</v>
      </c>
      <c r="AI34" s="206">
        <v>12</v>
      </c>
      <c r="AJ34" s="206">
        <v>11</v>
      </c>
      <c r="AK34" s="207" t="s">
        <v>232</v>
      </c>
    </row>
    <row r="35" s="3" customFormat="1" ht="22" customHeight="1" spans="1:37">
      <c r="A35" s="66">
        <v>64</v>
      </c>
      <c r="B35" s="67" t="str">
        <f t="shared" si="6"/>
        <v>TO</v>
      </c>
      <c r="C35" s="60">
        <v>64</v>
      </c>
      <c r="D35" s="61">
        <f t="shared" si="5"/>
        <v>1</v>
      </c>
      <c r="E35" s="68" t="s">
        <v>231</v>
      </c>
      <c r="F35" s="69"/>
      <c r="G35" s="64">
        <v>20000</v>
      </c>
      <c r="H35" s="70"/>
      <c r="I35" s="153"/>
      <c r="J35" s="153"/>
      <c r="K35" s="153"/>
      <c r="L35" s="153"/>
      <c r="M35" s="153"/>
      <c r="N35" s="153"/>
      <c r="O35" s="153"/>
      <c r="P35" s="76">
        <v>7</v>
      </c>
      <c r="Q35" s="153">
        <v>5</v>
      </c>
      <c r="R35" s="153"/>
      <c r="S35" s="153"/>
      <c r="T35" s="153"/>
      <c r="U35" s="76"/>
      <c r="V35" s="153"/>
      <c r="W35" s="153"/>
      <c r="X35" s="153">
        <v>4</v>
      </c>
      <c r="Y35" s="76"/>
      <c r="Z35" s="153"/>
      <c r="AA35" s="153"/>
      <c r="AB35" s="153"/>
      <c r="AC35" s="76"/>
      <c r="AD35" s="76"/>
      <c r="AE35" s="177"/>
      <c r="AF35" s="178">
        <f t="shared" si="7"/>
        <v>8</v>
      </c>
      <c r="AG35" s="205">
        <f t="shared" si="8"/>
        <v>8</v>
      </c>
      <c r="AH35" s="205">
        <f t="shared" si="9"/>
        <v>16</v>
      </c>
      <c r="AI35" s="206">
        <v>11.5</v>
      </c>
      <c r="AJ35" s="206">
        <v>10.5</v>
      </c>
      <c r="AK35" s="207" t="s">
        <v>232</v>
      </c>
    </row>
    <row r="36" s="3" customFormat="1" ht="22" customHeight="1" spans="1:37">
      <c r="A36" s="66">
        <v>65</v>
      </c>
      <c r="B36" s="67" t="str">
        <f t="shared" si="6"/>
        <v>TO</v>
      </c>
      <c r="C36" s="60">
        <v>65</v>
      </c>
      <c r="D36" s="61">
        <f t="shared" si="5"/>
        <v>1</v>
      </c>
      <c r="E36" s="68" t="s">
        <v>231</v>
      </c>
      <c r="F36" s="69"/>
      <c r="G36" s="64">
        <v>20000</v>
      </c>
      <c r="H36" s="70"/>
      <c r="I36" s="153"/>
      <c r="J36" s="153"/>
      <c r="K36" s="153"/>
      <c r="L36" s="153"/>
      <c r="M36" s="153"/>
      <c r="N36" s="153"/>
      <c r="O36" s="153"/>
      <c r="P36" s="76"/>
      <c r="Q36" s="153"/>
      <c r="R36" s="153">
        <v>5</v>
      </c>
      <c r="S36" s="153"/>
      <c r="T36" s="153">
        <v>2</v>
      </c>
      <c r="U36" s="76">
        <v>5</v>
      </c>
      <c r="V36" s="153"/>
      <c r="W36" s="153"/>
      <c r="X36" s="153"/>
      <c r="Y36" s="76"/>
      <c r="Z36" s="153"/>
      <c r="AA36" s="153"/>
      <c r="AB36" s="153"/>
      <c r="AC36" s="76"/>
      <c r="AD36" s="76"/>
      <c r="AE36" s="177"/>
      <c r="AF36" s="178">
        <f t="shared" si="7"/>
        <v>6</v>
      </c>
      <c r="AG36" s="205">
        <f t="shared" si="8"/>
        <v>6</v>
      </c>
      <c r="AH36" s="205">
        <f t="shared" si="9"/>
        <v>12</v>
      </c>
      <c r="AI36" s="206">
        <v>9.5</v>
      </c>
      <c r="AJ36" s="206">
        <v>8.5</v>
      </c>
      <c r="AK36" s="207" t="s">
        <v>232</v>
      </c>
    </row>
    <row r="37" s="3" customFormat="1" ht="22" customHeight="1" spans="1:37">
      <c r="A37" s="66">
        <v>66</v>
      </c>
      <c r="B37" s="67" t="str">
        <f t="shared" si="6"/>
        <v>TO</v>
      </c>
      <c r="C37" s="60">
        <v>66</v>
      </c>
      <c r="D37" s="61">
        <f t="shared" si="5"/>
        <v>1</v>
      </c>
      <c r="E37" s="68" t="s">
        <v>231</v>
      </c>
      <c r="F37" s="69"/>
      <c r="G37" s="64">
        <v>20000</v>
      </c>
      <c r="H37" s="70"/>
      <c r="I37" s="153"/>
      <c r="J37" s="153"/>
      <c r="K37" s="153"/>
      <c r="L37" s="153"/>
      <c r="M37" s="153"/>
      <c r="N37" s="153"/>
      <c r="O37" s="153"/>
      <c r="P37" s="76">
        <v>9</v>
      </c>
      <c r="Q37" s="153"/>
      <c r="R37" s="153"/>
      <c r="S37" s="153"/>
      <c r="T37" s="153"/>
      <c r="U37" s="76"/>
      <c r="V37" s="153"/>
      <c r="W37" s="153"/>
      <c r="X37" s="153"/>
      <c r="Y37" s="76"/>
      <c r="Z37" s="153"/>
      <c r="AA37" s="153"/>
      <c r="AB37" s="153"/>
      <c r="AC37" s="76"/>
      <c r="AD37" s="76"/>
      <c r="AE37" s="177"/>
      <c r="AF37" s="178">
        <f t="shared" si="7"/>
        <v>5</v>
      </c>
      <c r="AG37" s="205">
        <f t="shared" si="8"/>
        <v>4</v>
      </c>
      <c r="AH37" s="205">
        <f t="shared" si="9"/>
        <v>9</v>
      </c>
      <c r="AI37" s="206">
        <v>7</v>
      </c>
      <c r="AJ37" s="206">
        <v>6</v>
      </c>
      <c r="AK37" s="207" t="s">
        <v>232</v>
      </c>
    </row>
    <row r="38" s="3" customFormat="1" ht="22" customHeight="1" spans="1:37">
      <c r="A38" s="71"/>
      <c r="B38" s="72"/>
      <c r="C38" s="73"/>
      <c r="D38" s="74"/>
      <c r="E38" s="68"/>
      <c r="F38" s="69"/>
      <c r="G38" s="64"/>
      <c r="H38" s="75"/>
      <c r="I38" s="154"/>
      <c r="J38" s="154"/>
      <c r="K38" s="154"/>
      <c r="L38" s="154"/>
      <c r="M38" s="154"/>
      <c r="N38" s="154"/>
      <c r="O38" s="155"/>
      <c r="P38" s="156"/>
      <c r="Q38" s="154"/>
      <c r="R38" s="154"/>
      <c r="S38" s="155"/>
      <c r="T38" s="154"/>
      <c r="U38" s="156"/>
      <c r="V38" s="154"/>
      <c r="W38" s="154"/>
      <c r="X38" s="155"/>
      <c r="Y38" s="156"/>
      <c r="Z38" s="154"/>
      <c r="AA38" s="154"/>
      <c r="AB38" s="155"/>
      <c r="AC38" s="156"/>
      <c r="AD38" s="156"/>
      <c r="AE38" s="179"/>
      <c r="AF38" s="178"/>
      <c r="AG38" s="205"/>
      <c r="AH38" s="205"/>
      <c r="AI38" s="208"/>
      <c r="AJ38" s="208"/>
      <c r="AK38" s="207"/>
    </row>
    <row r="39" s="3" customFormat="1" ht="22" customHeight="1" spans="1:37">
      <c r="A39" s="76"/>
      <c r="B39" s="77" t="str">
        <f>IF(A39="","","TO")</f>
        <v/>
      </c>
      <c r="C39" s="76"/>
      <c r="D39" s="78"/>
      <c r="E39" s="79"/>
      <c r="F39" s="79"/>
      <c r="G39" s="80"/>
      <c r="H39" s="75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180"/>
      <c r="AF39" s="181" t="str">
        <f>IF(A39="","",ROUNDUP(SUM(AH39/2),0))</f>
        <v/>
      </c>
      <c r="AG39" s="205" t="str">
        <f>IF(A39="","",ROUNDDOWN(SUM(AH39/2),0))</f>
        <v/>
      </c>
      <c r="AH39" s="205" t="str">
        <f>IF(D39="","",SUM(SUM(H39:AE39)*D39))</f>
        <v/>
      </c>
      <c r="AI39" s="208"/>
      <c r="AJ39" s="208"/>
      <c r="AK39" s="207"/>
    </row>
    <row r="40" s="3" customFormat="1" ht="22" customHeight="1" spans="1:37">
      <c r="A40" s="76"/>
      <c r="B40" s="77" t="str">
        <f>IF(A40="","","TO")</f>
        <v/>
      </c>
      <c r="C40" s="76"/>
      <c r="D40" s="78" t="str">
        <f>IF(A40="","",SUM(C40-A40+1))</f>
        <v/>
      </c>
      <c r="E40" s="79" t="str">
        <f>IF(A40="","",E39)</f>
        <v/>
      </c>
      <c r="F40" s="79"/>
      <c r="G40" s="80"/>
      <c r="H40" s="81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180"/>
      <c r="AF40" s="181" t="str">
        <f>IF(A40="","",ROUNDUP(SUM(AH40/2),0))</f>
        <v/>
      </c>
      <c r="AG40" s="205" t="str">
        <f>IF(A40="","",ROUNDDOWN(SUM(AH40/2),0))</f>
        <v/>
      </c>
      <c r="AH40" s="205" t="str">
        <f>IF(D40="","",SUM(SUM(H40:AE40)*D40))</f>
        <v/>
      </c>
      <c r="AI40" s="208"/>
      <c r="AJ40" s="208"/>
      <c r="AK40" s="207"/>
    </row>
    <row r="41" s="2" customFormat="1" ht="22" customHeight="1" spans="1:37">
      <c r="A41" s="82"/>
      <c r="B41" s="83"/>
      <c r="C41" s="84"/>
      <c r="D41" s="85" t="str">
        <f>IF(A41="","",SUM(C41-A41+1))</f>
        <v/>
      </c>
      <c r="E41" s="86"/>
      <c r="F41" s="87"/>
      <c r="G41" s="88"/>
      <c r="H41" s="89"/>
      <c r="I41" s="157"/>
      <c r="J41" s="157"/>
      <c r="K41" s="157"/>
      <c r="L41" s="157"/>
      <c r="M41" s="158"/>
      <c r="N41" s="84"/>
      <c r="O41" s="159"/>
      <c r="P41" s="160"/>
      <c r="Q41" s="158"/>
      <c r="R41" s="84"/>
      <c r="S41" s="159"/>
      <c r="T41" s="84"/>
      <c r="U41" s="160"/>
      <c r="V41" s="158"/>
      <c r="W41" s="84"/>
      <c r="X41" s="159" t="s">
        <v>227</v>
      </c>
      <c r="Y41" s="160"/>
      <c r="Z41" s="158"/>
      <c r="AA41" s="84"/>
      <c r="AB41" s="159" t="s">
        <v>227</v>
      </c>
      <c r="AC41" s="160"/>
      <c r="AD41" s="160"/>
      <c r="AE41" s="182"/>
      <c r="AF41" s="183">
        <f>SUM(AF17:AF40)</f>
        <v>459</v>
      </c>
      <c r="AG41" s="183">
        <f>SUM(AG17:AG40)</f>
        <v>455</v>
      </c>
      <c r="AH41" s="209">
        <f>SUM(AH16:AH40)</f>
        <v>914</v>
      </c>
      <c r="AI41" s="210">
        <f>SUMPRODUCT(AI17:AI40,$D$17:$D$40)</f>
        <v>709.5</v>
      </c>
      <c r="AJ41" s="211">
        <f>SUMPRODUCT(AJ17:AJ40,$D$17:$D$40)</f>
        <v>643.5</v>
      </c>
      <c r="AK41" s="212">
        <f>ROUND(0.072*D43,2)</f>
        <v>4.75</v>
      </c>
    </row>
    <row r="42" s="2" customFormat="1" ht="22" customHeight="1" spans="1:37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</row>
    <row r="43" s="2" customFormat="1" ht="22" customHeight="1" spans="1:37">
      <c r="A43" s="92"/>
      <c r="B43" s="93" t="s">
        <v>233</v>
      </c>
      <c r="C43" s="94"/>
      <c r="D43" s="95">
        <f>SUM(D17:D41)</f>
        <v>66</v>
      </c>
      <c r="E43" s="96"/>
      <c r="F43" s="97"/>
      <c r="G43" s="97"/>
      <c r="H43" s="97"/>
      <c r="I43" s="97"/>
      <c r="J43" s="97"/>
      <c r="K43" s="97"/>
      <c r="L43" s="97"/>
      <c r="M43" s="97"/>
      <c r="N43" s="97"/>
      <c r="O43" s="101" t="s">
        <v>227</v>
      </c>
      <c r="P43" s="101"/>
      <c r="Q43" s="97"/>
      <c r="R43" s="97"/>
      <c r="S43" s="101" t="s">
        <v>227</v>
      </c>
      <c r="T43" s="97"/>
      <c r="U43" s="101"/>
      <c r="V43" s="97"/>
      <c r="W43" s="97"/>
      <c r="X43" s="101" t="s">
        <v>227</v>
      </c>
      <c r="Y43" s="101"/>
      <c r="Z43" s="97"/>
      <c r="AA43" s="97"/>
      <c r="AB43" s="101" t="s">
        <v>227</v>
      </c>
      <c r="AC43" s="101"/>
      <c r="AD43" s="101"/>
      <c r="AE43" s="101"/>
      <c r="AF43" s="184">
        <f t="shared" ref="AF43:AK43" si="10">AF41</f>
        <v>459</v>
      </c>
      <c r="AG43" s="184">
        <f t="shared" si="10"/>
        <v>455</v>
      </c>
      <c r="AH43" s="95">
        <f t="shared" si="10"/>
        <v>914</v>
      </c>
      <c r="AI43" s="213">
        <f t="shared" si="10"/>
        <v>709.5</v>
      </c>
      <c r="AJ43" s="213">
        <f t="shared" si="10"/>
        <v>643.5</v>
      </c>
      <c r="AK43" s="214">
        <f t="shared" si="10"/>
        <v>4.75</v>
      </c>
    </row>
    <row r="44" s="2" customFormat="1" ht="22" customHeight="1" spans="1:37">
      <c r="A44" s="98" t="s">
        <v>234</v>
      </c>
      <c r="B44" s="99"/>
      <c r="C44" s="99"/>
      <c r="D44" s="99"/>
      <c r="E44" s="99"/>
      <c r="F44" s="99"/>
      <c r="G44" s="94"/>
      <c r="H44" s="100" t="s">
        <v>196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215"/>
      <c r="AI44" s="216"/>
      <c r="AJ44" s="216"/>
      <c r="AK44" s="217"/>
    </row>
    <row r="45" s="4" customFormat="1" ht="22" customHeight="1" spans="1:37">
      <c r="A45" s="98" t="s">
        <v>235</v>
      </c>
      <c r="B45" s="94"/>
      <c r="C45" s="101" t="s">
        <v>236</v>
      </c>
      <c r="D45" s="101" t="s">
        <v>237</v>
      </c>
      <c r="E45" s="93" t="s">
        <v>199</v>
      </c>
      <c r="F45" s="94"/>
      <c r="G45" s="101" t="s">
        <v>200</v>
      </c>
      <c r="H45" s="101" t="str">
        <f t="shared" ref="H45:AE45" si="11">IF(H16="","",H16)</f>
        <v>6P</v>
      </c>
      <c r="I45" s="101" t="str">
        <f t="shared" si="11"/>
        <v>8P</v>
      </c>
      <c r="J45" s="101" t="str">
        <f t="shared" si="11"/>
        <v>10P</v>
      </c>
      <c r="K45" s="101" t="str">
        <f t="shared" si="11"/>
        <v>12P</v>
      </c>
      <c r="L45" s="101" t="str">
        <f t="shared" si="11"/>
        <v>14P</v>
      </c>
      <c r="M45" s="101" t="str">
        <f t="shared" si="11"/>
        <v>16P</v>
      </c>
      <c r="N45" s="101" t="str">
        <f t="shared" si="11"/>
        <v>18P</v>
      </c>
      <c r="O45" s="101" t="str">
        <f t="shared" si="11"/>
        <v>6R</v>
      </c>
      <c r="P45" s="101" t="str">
        <f t="shared" si="11"/>
        <v>8R</v>
      </c>
      <c r="Q45" s="101" t="str">
        <f t="shared" si="11"/>
        <v>10R</v>
      </c>
      <c r="R45" s="101" t="str">
        <f t="shared" si="11"/>
        <v>12R</v>
      </c>
      <c r="S45" s="101" t="str">
        <f t="shared" si="11"/>
        <v>14R</v>
      </c>
      <c r="T45" s="101" t="str">
        <f t="shared" si="11"/>
        <v>16R</v>
      </c>
      <c r="U45" s="101" t="str">
        <f t="shared" si="11"/>
        <v>18R</v>
      </c>
      <c r="V45" s="101" t="str">
        <f t="shared" si="11"/>
        <v>20R</v>
      </c>
      <c r="W45" s="101" t="str">
        <f t="shared" si="11"/>
        <v>22R</v>
      </c>
      <c r="X45" s="101" t="str">
        <f t="shared" si="11"/>
        <v>24R</v>
      </c>
      <c r="Y45" s="101" t="str">
        <f t="shared" si="11"/>
        <v>6L</v>
      </c>
      <c r="Z45" s="101" t="str">
        <f t="shared" si="11"/>
        <v>8L</v>
      </c>
      <c r="AA45" s="101" t="str">
        <f t="shared" si="11"/>
        <v>10L</v>
      </c>
      <c r="AB45" s="101" t="str">
        <f t="shared" si="11"/>
        <v>12L</v>
      </c>
      <c r="AC45" s="101" t="str">
        <f t="shared" si="11"/>
        <v>14L</v>
      </c>
      <c r="AD45" s="101" t="str">
        <f t="shared" si="11"/>
        <v>16L</v>
      </c>
      <c r="AE45" s="101" t="str">
        <f t="shared" si="11"/>
        <v>18L</v>
      </c>
      <c r="AF45" s="101" t="s">
        <v>227</v>
      </c>
      <c r="AG45" s="101"/>
      <c r="AH45" s="101" t="s">
        <v>238</v>
      </c>
      <c r="AI45" s="101" t="s">
        <v>239</v>
      </c>
      <c r="AJ45" s="218" t="s">
        <v>240</v>
      </c>
      <c r="AK45" s="218" t="s">
        <v>230</v>
      </c>
    </row>
    <row r="46" s="2" customFormat="1" ht="36" customHeight="1" spans="1:37">
      <c r="A46" s="102" t="str">
        <f>C14</f>
        <v>home shopping</v>
      </c>
      <c r="B46" s="103"/>
      <c r="C46" s="104" t="s">
        <v>241</v>
      </c>
      <c r="D46" s="105" t="str">
        <f>I3</f>
        <v>PO 00074681</v>
      </c>
      <c r="E46" s="106" t="str">
        <f>E17</f>
        <v>PLUM MLT</v>
      </c>
      <c r="F46" s="103"/>
      <c r="G46" s="107">
        <f>G17</f>
        <v>20000</v>
      </c>
      <c r="H46" s="105">
        <f>IF(SUM(H17:H40)=0,"",SUMPRODUCT(H17:H40,$D$17:$D$40))</f>
        <v>7</v>
      </c>
      <c r="I46" s="105">
        <f>IF(SUM(I17:I40)=0,"",SUMPRODUCT(I17:I40,$D$17:$D$40))</f>
        <v>10</v>
      </c>
      <c r="J46" s="105">
        <f>IF(SUM(J17:J40)=0,"",SUMPRODUCT(J17:J40,$D$17:$D$40))</f>
        <v>19</v>
      </c>
      <c r="K46" s="105">
        <f>IF(SUM(K17:K40)=0,"",SUMPRODUCT(K17:K40,$D$17:$D$40))</f>
        <v>26</v>
      </c>
      <c r="L46" s="105">
        <f>IF(SUM(L17:L40)=0,"",SUMPRODUCT(L17:L40,$D$17:$D$40))</f>
        <v>19</v>
      </c>
      <c r="M46" s="105">
        <f>IF(SUM(M17:M40)=0,"",SUMPRODUCT(M17:M40,$D$17:$D$40))</f>
        <v>11</v>
      </c>
      <c r="N46" s="105">
        <f>IF(SUM(N17:N40)=0,"",SUMPRODUCT(N17:N40,$D$17:$D$40))</f>
        <v>4</v>
      </c>
      <c r="O46" s="105">
        <f>IF(SUM(O17:O40)=0,"",SUMPRODUCT(O17:O40,$D$17:$D$40))</f>
        <v>16</v>
      </c>
      <c r="P46" s="105">
        <f>IF(SUM(P17:P40)=0,"",SUMPRODUCT(P17:P40,$D$17:$D$40))</f>
        <v>86</v>
      </c>
      <c r="Q46" s="105">
        <f>IF(SUM(Q17:Q40)=0,"",SUMPRODUCT(Q17:Q40,$D$17:$D$40))</f>
        <v>145</v>
      </c>
      <c r="R46" s="105">
        <f>IF(SUM(R17:R40)=0,"",SUMPRODUCT(R17:R40,$D$17:$D$40))</f>
        <v>173</v>
      </c>
      <c r="S46" s="105">
        <f>IF(SUM(S17:S40)=0,"",SUMPRODUCT(S17:S40,$D$17:$D$40))</f>
        <v>167</v>
      </c>
      <c r="T46" s="105">
        <f>IF(SUM(T17:T40)=0,"",SUMPRODUCT(T17:T40,$D$17:$D$40))</f>
        <v>114</v>
      </c>
      <c r="U46" s="105">
        <f>IF(SUM(U17:U40)=0,"",SUMPRODUCT(U17:U40,$D$17:$D$40))</f>
        <v>75</v>
      </c>
      <c r="V46" s="105">
        <f>IF(SUM(V17:V40)=0,"",SUMPRODUCT(V17:V40,$D$17:$D$40))</f>
        <v>25</v>
      </c>
      <c r="W46" s="105">
        <f>IF(SUM(W17:W40)=0,"",SUMPRODUCT(W17:W40,$D$17:$D$40))</f>
        <v>13</v>
      </c>
      <c r="X46" s="105">
        <f>IF(SUM(X17:X40)=0,"",SUMPRODUCT(X17:X40,$D$17:$D$40))</f>
        <v>4</v>
      </c>
      <c r="Y46" s="105" t="str">
        <f>IF(SUM(Y17:Y40)=0,"",SUMPRODUCT(Y17:Y40,$D$17:$D$40))</f>
        <v/>
      </c>
      <c r="Z46" s="105" t="str">
        <f>IF(SUM(Z17:Z40)=0,"",SUMPRODUCT(Z17:Z40,$D$17:$D$40))</f>
        <v/>
      </c>
      <c r="AA46" s="105" t="str">
        <f>IF(SUM(AA17:AA40)=0,"",SUMPRODUCT(AA17:AA40,$D$17:$D$40))</f>
        <v/>
      </c>
      <c r="AB46" s="105" t="str">
        <f>IF(SUM(AB17:AB40)=0,"",SUMPRODUCT(AB17:AB40,$D$17:$D$40))</f>
        <v/>
      </c>
      <c r="AC46" s="105" t="str">
        <f>IF(SUM(AC17:AC40)=0,"",SUMPRODUCT(AC17:AC40,$D$17:$D$40))</f>
        <v/>
      </c>
      <c r="AD46" s="105" t="str">
        <f>IF(SUM(AD17:AD40)=0,"",SUMPRODUCT(AD17:AD40,$D$17:$D$40))</f>
        <v/>
      </c>
      <c r="AE46" s="105" t="str">
        <f>IF(SUM(AE17:AE40)=0,"",SUMPRODUCT(AE17:AE40,$D$17:$D$40))</f>
        <v/>
      </c>
      <c r="AF46" s="105">
        <f>IF(SUM(AH17:AH40)=0,"",SUM(AH17:AH40))</f>
        <v>914</v>
      </c>
      <c r="AG46" s="105"/>
      <c r="AH46" s="105">
        <f>IF(SUM(AH17:AH40)=0,"",SUM(AH17:AH40))</f>
        <v>914</v>
      </c>
      <c r="AI46" s="219">
        <f t="shared" ref="AI46:AK46" si="12">AI43</f>
        <v>709.5</v>
      </c>
      <c r="AJ46" s="219">
        <f t="shared" si="12"/>
        <v>643.5</v>
      </c>
      <c r="AK46" s="219">
        <f t="shared" si="12"/>
        <v>4.75</v>
      </c>
    </row>
    <row r="47" s="2" customFormat="1" ht="22" customHeight="1" spans="1:37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20"/>
    </row>
    <row r="48" s="2" customFormat="1" ht="22" customHeight="1" spans="1:37">
      <c r="A48" s="108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26HT1202010C Date 14/06/2026 declares that, except where otherwise clearly indicated,these products are of CHINA Preferential Origin according to rules of origin of the Developing Countries Trading Scheme of the U.K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221"/>
    </row>
    <row r="49" s="2" customFormat="1" ht="22" customHeight="1" spans="1:37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222"/>
    </row>
    <row r="50" s="2" customFormat="1" ht="22" customHeight="1" spans="1:37">
      <c r="A50" s="108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221"/>
    </row>
    <row r="51" s="2" customFormat="1" ht="22" customHeight="1" spans="1:37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222"/>
    </row>
    <row r="52" s="2" customFormat="1" ht="22" customHeight="1" spans="1:37">
      <c r="A52" s="112" t="s">
        <v>242</v>
      </c>
      <c r="B52" s="113"/>
      <c r="C52" s="113"/>
      <c r="D52" s="114"/>
      <c r="E52" s="115" t="s">
        <v>243</v>
      </c>
      <c r="F52" s="116"/>
      <c r="G52" s="117"/>
      <c r="H52" s="118"/>
      <c r="I52" s="161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223"/>
    </row>
    <row r="53" s="2" customFormat="1" ht="22" customHeight="1" spans="1:37">
      <c r="A53" s="119"/>
      <c r="B53" s="120"/>
      <c r="C53" s="120"/>
      <c r="D53" s="121" t="s">
        <v>227</v>
      </c>
      <c r="E53" s="121"/>
      <c r="F53" s="122">
        <f>AH41</f>
        <v>914</v>
      </c>
      <c r="G53" s="122"/>
      <c r="H53" s="121" t="s">
        <v>244</v>
      </c>
      <c r="I53" s="163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224"/>
    </row>
    <row r="54" s="2" customFormat="1" ht="22" customHeight="1" spans="1:37">
      <c r="A54" s="119"/>
      <c r="B54" s="120"/>
      <c r="C54" s="120"/>
      <c r="D54" s="121" t="s">
        <v>245</v>
      </c>
      <c r="E54" s="121"/>
      <c r="F54" s="122">
        <f>D43</f>
        <v>66</v>
      </c>
      <c r="G54" s="122"/>
      <c r="H54" s="121" t="s">
        <v>246</v>
      </c>
      <c r="I54" s="163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224"/>
    </row>
    <row r="55" s="2" customFormat="1" ht="22" customHeight="1" spans="1:37">
      <c r="A55" s="119"/>
      <c r="B55" s="120"/>
      <c r="C55" s="120"/>
      <c r="D55" s="121" t="s">
        <v>247</v>
      </c>
      <c r="E55" s="121"/>
      <c r="F55" s="123">
        <f>AI41</f>
        <v>709.5</v>
      </c>
      <c r="G55" s="123"/>
      <c r="H55" s="121" t="s">
        <v>248</v>
      </c>
      <c r="I55" s="163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224"/>
    </row>
    <row r="56" s="2" customFormat="1" ht="22" customHeight="1" spans="1:37">
      <c r="A56" s="124"/>
      <c r="B56" s="125"/>
      <c r="C56" s="125"/>
      <c r="D56" s="126" t="s">
        <v>249</v>
      </c>
      <c r="E56" s="126"/>
      <c r="F56" s="127">
        <f>AJ41</f>
        <v>643.5</v>
      </c>
      <c r="G56" s="127"/>
      <c r="H56" s="126" t="s">
        <v>248</v>
      </c>
      <c r="I56" s="165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225"/>
    </row>
  </sheetData>
  <sheetProtection deleteColumns="0"/>
  <mergeCells count="93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A42:AK42"/>
    <mergeCell ref="B43:C43"/>
    <mergeCell ref="E43:AA43"/>
    <mergeCell ref="A44:G44"/>
    <mergeCell ref="H44:AF44"/>
    <mergeCell ref="AH44:AI44"/>
    <mergeCell ref="A45:B45"/>
    <mergeCell ref="E45:F45"/>
    <mergeCell ref="A46:B46"/>
    <mergeCell ref="E46:F46"/>
    <mergeCell ref="A47:AK47"/>
    <mergeCell ref="A52:D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C14:C15"/>
    <mergeCell ref="H5:AK6"/>
    <mergeCell ref="A7:G9"/>
    <mergeCell ref="A14:B15"/>
    <mergeCell ref="D14:G15"/>
    <mergeCell ref="H14:AE15"/>
    <mergeCell ref="AF14:AK15"/>
    <mergeCell ref="A48:AK49"/>
    <mergeCell ref="A50:AK51"/>
    <mergeCell ref="I52:AK56"/>
    <mergeCell ref="A53:C56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allowBlank="1" showInputMessage="1" sqref="C14:C15"/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47DE7C00-6913-4762-8DF9-6FA0530863B7}"/>
</file>

<file path=customXml/itemProps3.xml><?xml version="1.0" encoding="utf-8"?>
<ds:datastoreItem xmlns:ds="http://schemas.openxmlformats.org/officeDocument/2006/customXml" ds:itemID="{BE12097D-A6C9-4C3C-BA49-9E0E111BB556}"/>
</file>

<file path=customXml/itemProps4.xml><?xml version="1.0" encoding="utf-8"?>
<ds:datastoreItem xmlns:ds="http://schemas.openxmlformats.org/officeDocument/2006/customXml" ds:itemID="{FEDBA35D-24D4-4376-A62B-D51B8ACC167B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