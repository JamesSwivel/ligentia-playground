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613" activeTab="1"/>
  </bookViews>
  <sheets>
    <sheet name="INV" sheetId="37" r:id="rId1"/>
    <sheet name="PL-Home Shopping" sheetId="39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<sst xmlns="http://schemas.openxmlformats.org/spreadsheetml/2006/main" count="259" uniqueCount="232">
  <si>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</si>
  <si>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</si>
  <si>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</si>
  <si>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</si>
  <si>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</si>
  <si>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</si>
  <si>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</si>
  <si>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</si>
  <si>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</si>
  <si>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26HT1205010A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</si>
  <si>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</si>
  <si>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</si>
  <si>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</si>
  <si>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</si>
  <si>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</si>
  <si>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</si>
  <si>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</si>
  <si>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</si>
  <si>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</si>
  <si>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</si>
  <si>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</si>
  <si>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</si>
  <si>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</si>
  <si>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</si>
  <si>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</si>
  <si>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</si>
  <si>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</si>
  <si>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</si>
  <si>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</si>
  <si>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</si>
  <si>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</si>
  <si>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PO00074648</t>
  </si>
  <si>
    <t>LADIES' 100%RECYCLED POLYESTER KNITTED TOP
BORG ZIP THROUGH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</si>
  <si>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</si>
  <si>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</si>
  <si>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</si>
  <si>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</si>
  <si>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</si>
  <si>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</si>
  <si>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</si>
  <si>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</si>
  <si>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</si>
  <si>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</si>
  <si>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</si>
  <si>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</si>
  <si>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</si>
  <si>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</si>
  <si>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</si>
  <si>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</si>
  <si>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</si>
  <si>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</si>
  <si>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</si>
  <si>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</si>
  <si>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</si>
  <si>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</si>
  <si>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</si>
  <si>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</si>
  <si>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</si>
  <si>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</si>
  <si>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</si>
  <si>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</si>
  <si>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</si>
  <si>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</si>
  <si>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</si>
  <si>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</si>
  <si>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</si>
  <si>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</si>
  <si>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</si>
  <si>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</si>
  <si>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</si>
  <si>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</si>
  <si>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</si>
  <si>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</si>
  <si>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</si>
  <si>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</si>
  <si>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</si>
  <si>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</si>
  <si>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</si>
  <si>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</si>
  <si>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</si>
  <si>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</si>
  <si>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</si>
  <si>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</si>
  <si>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</si>
  <si>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</si>
  <si>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</si>
  <si>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</si>
  <si>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</si>
  <si>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</si>
  <si>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</si>
  <si>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</si>
  <si>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</si>
  <si>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</si>
  <si>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</si>
  <si>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</si>
  <si>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</si>
  <si>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</si>
  <si>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</si>
  <si>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</si>
  <si>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</si>
  <si>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</si>
  <si>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</si>
  <si>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</si>
  <si>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</si>
  <si>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</si>
  <si>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</si>
  <si>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</si>
  <si>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</si>
  <si>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</si>
  <si>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</si>
  <si>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</si>
  <si>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</si>
  <si>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</si>
  <si>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</si>
  <si>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</si>
  <si>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</si>
  <si>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</si>
  <si>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</si>
  <si>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</si>
  <si>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</si>
  <si>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</si>
  <si>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</si>
  <si>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</si>
  <si>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</si>
  <si>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</si>
  <si>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</si>
  <si>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</si>
  <si>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</si>
  <si>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</si>
  <si>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</si>
  <si>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</si>
  <si>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</si>
  <si>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</si>
  <si>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</si>
  <si>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</si>
  <si>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</si>
  <si>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</si>
  <si>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</si>
  <si>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</si>
  <si>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</si>
  <si>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</si>
  <si>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</si>
  <si>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</si>
  <si>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</si>
  <si>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</si>
  <si>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</si>
  <si>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</si>
  <si>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</si>
  <si>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</si>
  <si>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</si>
  <si>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</si>
  <si>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</si>
  <si>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</si>
  <si>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</si>
  <si>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</si>
  <si>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</si>
  <si>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</si>
  <si>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</si>
  <si>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</si>
  <si>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</si>
  <si>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</si>
  <si>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</si>
  <si>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</si>
  <si>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</si>
  <si>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</si>
  <si>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</si>
  <si>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</si>
  <si>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</si>
  <si>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</si>
  <si>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</si>
  <si>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</si>
  <si>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</si>
  <si>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</si>
  <si>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</si>
  <si>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</si>
  <si>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</si>
  <si>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</si>
  <si>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</si>
  <si>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</si>
  <si>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</si>
  <si>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</si>
  <si>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</si>
  <si>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</si>
  <si>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</si>
  <si>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</si>
  <si>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</si>
  <si>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</si>
  <si>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</si>
  <si>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</si>
  <si>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</si>
  <si>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</si>
  <si>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</si>
  <si>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</si>
  <si>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</si>
  <si>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</si>
  <si>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</si>
  <si>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</si>
  <si>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</si>
  <si>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</si>
  <si>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</si>
  <si>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XXS</t>
  </si>
  <si>
    <t>XS</t>
  </si>
  <si>
    <t>S</t>
  </si>
  <si>
    <t>M</t>
  </si>
  <si>
    <t>L</t>
  </si>
  <si>
    <t>XL</t>
  </si>
  <si>
    <t>XXL</t>
  </si>
  <si>
    <t>PCS (UK)</t>
  </si>
  <si>
    <t>PCS (EU)</t>
  </si>
  <si>
    <t>TOTAL PCS</t>
  </si>
  <si>
    <t>GROSS WT</t>
  </si>
  <si>
    <t>NET WT</t>
  </si>
  <si>
    <t>CBM</t>
  </si>
  <si>
    <t>NAVY MULTI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</si>
  <si>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</si>
  <si>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</si>
  <si>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</si>
  <si>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</si>
  <si>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</si>
  <si>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</si>
  <si>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</si>
  <si>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</si>
  <si>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</si>
  <si>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BORG ZIP THROUGH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</si>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</sst>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26" formatCode="\$#,##0.00_);[Red]\(\$#,##0.0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&quot;$&quot;#,##0.00"/>
    <numFmt numFmtId="178" formatCode="#,##0.00_ "/>
    <numFmt numFmtId="179" formatCode="0_);[Red]\(0\)"/>
    <numFmt numFmtId="180" formatCode="_ \¥* #,##0.00_ ;_ \¥* \-#,##0.00_ ;_ \¥* &quot;-&quot;??_ ;_ @_ "/>
    <numFmt numFmtId="181" formatCode="[$-409]d/mmm/yyyy;@"/>
    <numFmt numFmtId="182" formatCode="0.00_ "/>
    <numFmt numFmtId="183" formatCode="0.000_ "/>
    <numFmt numFmtId="184" formatCode="#,##0_ "/>
    <numFmt numFmtId="185" formatCode="#,##0&quot;CTNS&quot;"/>
    <numFmt numFmtId="186" formatCode="[$-409]d\-mmm\-yy;@"/>
    <numFmt numFmtId="187" formatCode="#,##0.00;[Red]#,##0.00"/>
    <numFmt numFmtId="188" formatCode="\$#,##0.00;\-\$#,##0.00"/>
    <numFmt numFmtId="189" formatCode="[$-409]d/mmm/yy;@"/>
    <numFmt numFmtId="190" formatCode="#,##0.0000;[Red]#,##0.0000"/>
    <numFmt numFmtId="191" formatCode="#,##0.0&quot;KGS&quot;"/>
    <numFmt numFmtId="192" formatCode="#,##0;[Red]#,##0"/>
    <numFmt numFmtId="193" formatCode="_-* #,##0_-;\-* #,##0_-;_-* &quot;-&quot;??_-;_-@_-"/>
    <numFmt numFmtId="194" formatCode="0.000_);[Red]\(0.000\)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2"/>
      <name val="新細明體"/>
      <charset val="134"/>
    </font>
    <font>
      <sz val="10"/>
      <name val="Verdan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1">
    <xf numFmtId="0" fontId="0" fillId="0" borderId="0">
      <alignment vertical="center"/>
    </xf>
    <xf numFmtId="0" fontId="37" fillId="0" borderId="0">
      <alignment vertical="center"/>
    </xf>
    <xf numFmtId="42" fontId="36" fillId="0" borderId="0" applyFon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17" borderId="98" applyNumberFormat="0" applyAlignment="0" applyProtection="0">
      <alignment vertical="center"/>
    </xf>
    <xf numFmtId="44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26" borderId="100" applyNumberFormat="0" applyFont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9" fontId="16" fillId="0" borderId="0"/>
    <xf numFmtId="0" fontId="50" fillId="0" borderId="99" applyNumberFormat="0" applyFill="0" applyAlignment="0" applyProtection="0">
      <alignment vertical="center"/>
    </xf>
    <xf numFmtId="0" fontId="56" fillId="0" borderId="99" applyNumberFormat="0" applyFill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5" fillId="0" borderId="96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54" fillId="22" borderId="102" applyNumberFormat="0" applyAlignment="0" applyProtection="0">
      <alignment vertical="center"/>
    </xf>
    <xf numFmtId="0" fontId="49" fillId="22" borderId="98" applyNumberFormat="0" applyAlignment="0" applyProtection="0">
      <alignment vertical="center"/>
    </xf>
    <xf numFmtId="0" fontId="47" fillId="16" borderId="97" applyNumberFormat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53" fillId="0" borderId="101" applyNumberFormat="0" applyFill="0" applyAlignment="0" applyProtection="0">
      <alignment vertical="center"/>
    </xf>
    <xf numFmtId="0" fontId="43" fillId="0" borderId="95" applyNumberFormat="0" applyFill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57" fillId="0" borderId="0"/>
    <xf numFmtId="0" fontId="38" fillId="6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6" fillId="0" borderId="0">
      <alignment vertical="center"/>
    </xf>
    <xf numFmtId="0" fontId="38" fillId="33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58" fillId="0" borderId="0">
      <alignment vertical="center"/>
    </xf>
    <xf numFmtId="0" fontId="16" fillId="0" borderId="0"/>
    <xf numFmtId="0" fontId="59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36" fillId="0" borderId="0"/>
  </cellStyleXfs>
  <cellXfs count="311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6" fillId="2" borderId="35" xfId="0" applyFont="1" applyFill="1" applyBorder="1" applyAlignment="1" applyProtection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38" xfId="0" applyFont="1" applyFill="1" applyBorder="1" applyAlignment="1" applyProtection="1">
      <alignment horizontal="left" vertical="center" wrapText="1"/>
      <protection locked="0"/>
    </xf>
    <xf numFmtId="0" fontId="6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8" fillId="2" borderId="39" xfId="0" applyNumberFormat="1" applyFont="1" applyFill="1" applyBorder="1" applyAlignment="1">
      <alignment horizontal="center" vertical="center" shrinkToFit="1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6" fillId="2" borderId="42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left" vertical="center" wrapText="1"/>
      <protection locked="0"/>
    </xf>
    <xf numFmtId="0" fontId="2" fillId="2" borderId="44" xfId="0" applyFont="1" applyFill="1" applyBorder="1" applyAlignment="1" applyProtection="1">
      <alignment horizontal="left" vertical="center" wrapText="1"/>
      <protection locked="0"/>
    </xf>
    <xf numFmtId="0" fontId="2" fillId="2" borderId="41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1" fontId="8" fillId="2" borderId="48" xfId="0" applyNumberFormat="1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 applyProtection="1">
      <alignment horizontal="center" vertical="center" wrapText="1"/>
      <protection locked="0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" fontId="2" fillId="2" borderId="52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5" xfId="0" applyFont="1" applyFill="1" applyBorder="1" applyAlignment="1">
      <alignment horizontal="center" vertical="top" wrapText="1"/>
    </xf>
    <xf numFmtId="0" fontId="2" fillId="2" borderId="56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4" xfId="0" applyFont="1" applyFill="1" applyBorder="1" applyAlignment="1">
      <alignment horizontal="left" vertical="top" wrapText="1"/>
    </xf>
    <xf numFmtId="0" fontId="6" fillId="2" borderId="54" xfId="0" applyFont="1" applyFill="1" applyBorder="1" applyAlignment="1">
      <alignment horizontal="center" vertical="top" wrapText="1"/>
    </xf>
    <xf numFmtId="2" fontId="8" fillId="2" borderId="54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4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58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59" xfId="0" applyFont="1" applyFill="1" applyBorder="1" applyAlignment="1" applyProtection="1">
      <alignment horizontal="left" vertical="center" wrapText="1"/>
      <protection locked="0"/>
    </xf>
    <xf numFmtId="0" fontId="10" fillId="2" borderId="6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10" fillId="2" borderId="61" xfId="0" applyFont="1" applyFill="1" applyBorder="1" applyAlignment="1">
      <alignment horizontal="left" vertical="center" wrapText="1"/>
    </xf>
    <xf numFmtId="0" fontId="6" fillId="2" borderId="54" xfId="0" applyFont="1" applyFill="1" applyBorder="1" applyAlignment="1">
      <alignment horizontal="left" vertical="center" wrapText="1"/>
    </xf>
    <xf numFmtId="0" fontId="10" fillId="2" borderId="64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66" xfId="0" applyFont="1" applyFill="1" applyBorder="1" applyAlignment="1" applyProtection="1">
      <alignment horizontal="center" vertical="center" wrapText="1"/>
      <protection locked="0"/>
    </xf>
    <xf numFmtId="0" fontId="2" fillId="2" borderId="67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39" xfId="0" applyFont="1" applyFill="1" applyBorder="1" applyAlignment="1" applyProtection="1">
      <alignment horizontal="left" vertical="center" wrapText="1"/>
      <protection locked="0"/>
    </xf>
    <xf numFmtId="0" fontId="2" fillId="2" borderId="68" xfId="0" applyFont="1" applyFill="1" applyBorder="1" applyAlignment="1" applyProtection="1">
      <alignment horizontal="left" vertical="center" wrapText="1"/>
      <protection locked="0"/>
    </xf>
    <xf numFmtId="0" fontId="6" fillId="2" borderId="69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11" fillId="2" borderId="70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71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1" fillId="2" borderId="41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4" fillId="0" borderId="72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73" xfId="0" applyFont="1" applyFill="1" applyBorder="1" applyAlignment="1" applyProtection="1">
      <alignment horizontal="left" vertical="center" wrapText="1"/>
      <protection locked="0"/>
    </xf>
    <xf numFmtId="0" fontId="6" fillId="2" borderId="64" xfId="0" applyFont="1" applyFill="1" applyBorder="1" applyAlignment="1" applyProtection="1">
      <alignment horizontal="left" vertical="center" wrapText="1"/>
      <protection locked="0"/>
    </xf>
    <xf numFmtId="0" fontId="6" fillId="2" borderId="74" xfId="0" applyFont="1" applyFill="1" applyBorder="1" applyAlignment="1" applyProtection="1">
      <alignment horizontal="left" vertical="center" wrapText="1"/>
      <protection locked="0"/>
    </xf>
    <xf numFmtId="0" fontId="5" fillId="2" borderId="75" xfId="0" applyFont="1" applyFill="1" applyBorder="1" applyAlignment="1" applyProtection="1">
      <alignment horizontal="left" vertical="center" wrapText="1"/>
      <protection locked="0"/>
    </xf>
    <xf numFmtId="0" fontId="6" fillId="2" borderId="75" xfId="0" applyFont="1" applyFill="1" applyBorder="1" applyAlignment="1" applyProtection="1">
      <alignment horizontal="center" vertical="center" wrapText="1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78" xfId="0" applyFont="1" applyFill="1" applyBorder="1" applyAlignment="1">
      <alignment horizontal="left" vertical="center" wrapText="1"/>
    </xf>
    <xf numFmtId="0" fontId="6" fillId="2" borderId="79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 applyProtection="1">
      <alignment horizontal="left" vertical="center" wrapText="1"/>
      <protection locked="0"/>
    </xf>
    <xf numFmtId="0" fontId="10" fillId="2" borderId="81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82" xfId="0" applyFont="1" applyFill="1" applyBorder="1" applyAlignment="1" applyProtection="1">
      <alignment horizontal="left" vertical="center" wrapText="1"/>
      <protection locked="0"/>
    </xf>
    <xf numFmtId="0" fontId="10" fillId="2" borderId="83" xfId="0" applyFont="1" applyFill="1" applyBorder="1" applyAlignment="1" applyProtection="1">
      <alignment horizontal="left" vertical="center" wrapText="1"/>
    </xf>
    <xf numFmtId="0" fontId="10" fillId="2" borderId="54" xfId="0" applyFont="1" applyFill="1" applyBorder="1" applyAlignment="1">
      <alignment horizontal="left" vertical="center" wrapText="1"/>
    </xf>
    <xf numFmtId="0" fontId="10" fillId="2" borderId="54" xfId="0" applyFont="1" applyFill="1" applyBorder="1" applyAlignment="1" applyProtection="1">
      <alignment horizontal="left" vertical="center" wrapText="1"/>
      <protection locked="0"/>
    </xf>
    <xf numFmtId="0" fontId="10" fillId="2" borderId="74" xfId="0" applyFont="1" applyFill="1" applyBorder="1" applyAlignment="1" applyProtection="1">
      <alignment horizontal="left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72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left" vertical="center" wrapText="1"/>
    </xf>
    <xf numFmtId="49" fontId="9" fillId="2" borderId="73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6" xfId="0" applyFont="1" applyFill="1" applyBorder="1" applyAlignment="1">
      <alignment horizontal="center" vertical="center" wrapText="1"/>
    </xf>
    <xf numFmtId="0" fontId="6" fillId="2" borderId="87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 applyProtection="1">
      <alignment horizontal="center" vertical="center" wrapText="1"/>
      <protection locked="0"/>
    </xf>
    <xf numFmtId="1" fontId="8" fillId="2" borderId="81" xfId="0" applyNumberFormat="1" applyFont="1" applyFill="1" applyBorder="1" applyAlignment="1">
      <alignment horizontal="center" vertical="center" shrinkToFi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83" fontId="8" fillId="2" borderId="8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88" xfId="0" applyFont="1" applyFill="1" applyBorder="1" applyAlignment="1" applyProtection="1">
      <alignment horizontal="center" vertical="center" wrapText="1"/>
      <protection locked="0"/>
    </xf>
    <xf numFmtId="182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89" xfId="0" applyFont="1" applyFill="1" applyBorder="1" applyAlignment="1">
      <alignment horizontal="center" vertical="center" wrapText="1"/>
    </xf>
    <xf numFmtId="1" fontId="6" fillId="2" borderId="42" xfId="0" applyNumberFormat="1" applyFont="1" applyFill="1" applyBorder="1" applyAlignment="1">
      <alignment horizontal="center" vertical="center" wrapText="1"/>
    </xf>
    <xf numFmtId="1" fontId="8" fillId="2" borderId="90" xfId="0" applyNumberFormat="1" applyFont="1" applyFill="1" applyBorder="1" applyAlignment="1">
      <alignment horizontal="center" vertical="center" shrinkToFit="1"/>
    </xf>
    <xf numFmtId="2" fontId="8" fillId="2" borderId="39" xfId="0" applyNumberFormat="1" applyFont="1" applyFill="1" applyBorder="1" applyAlignment="1">
      <alignment horizontal="center" vertical="center" shrinkToFit="1"/>
    </xf>
    <xf numFmtId="2" fontId="8" fillId="2" borderId="9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1" fontId="6" fillId="2" borderId="48" xfId="0" applyNumberFormat="1" applyFont="1" applyFill="1" applyBorder="1" applyAlignment="1">
      <alignment horizontal="center" vertical="center" wrapText="1"/>
    </xf>
    <xf numFmtId="2" fontId="8" fillId="2" borderId="48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0" fontId="2" fillId="2" borderId="7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6" fillId="2" borderId="93" xfId="0" applyFont="1" applyFill="1" applyBorder="1" applyAlignment="1">
      <alignment horizontal="center" vertical="center" wrapText="1"/>
    </xf>
    <xf numFmtId="182" fontId="2" fillId="2" borderId="52" xfId="0" applyNumberFormat="1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75" xfId="0" applyFont="1" applyFill="1" applyBorder="1" applyAlignment="1" applyProtection="1">
      <alignment horizontal="center" vertical="center" wrapText="1"/>
      <protection locked="0"/>
    </xf>
    <xf numFmtId="0" fontId="11" fillId="2" borderId="8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81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6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89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13" fillId="2" borderId="81" xfId="0" applyFont="1" applyFill="1" applyBorder="1" applyAlignment="1">
      <alignment horizontal="center" vertical="center" wrapText="1"/>
    </xf>
    <xf numFmtId="179" fontId="25" fillId="2" borderId="18" xfId="57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1" xfId="0" applyFont="1" applyBorder="1" applyAlignment="1">
      <alignment horizontal="right" vertical="center"/>
    </xf>
    <xf numFmtId="0" fontId="13" fillId="0" borderId="81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5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81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81" fontId="20" fillId="0" borderId="0" xfId="0" applyNumberFormat="1" applyFont="1" applyFill="1" applyBorder="1" applyAlignment="1">
      <alignment vertical="center"/>
    </xf>
    <xf numFmtId="181" fontId="28" fillId="0" borderId="0" xfId="0" applyNumberFormat="1" applyFont="1" applyBorder="1" applyAlignment="1">
      <alignment horizontal="left" vertical="center"/>
    </xf>
    <xf numFmtId="188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78" fontId="13" fillId="0" borderId="19" xfId="0" applyNumberFormat="1" applyFont="1" applyBorder="1" applyAlignment="1">
      <alignment horizontal="right" vertical="center"/>
    </xf>
    <xf numFmtId="182" fontId="16" fillId="0" borderId="0" xfId="0" applyNumberFormat="1" applyFont="1" applyBorder="1" applyAlignment="1">
      <alignment horizontal="center" vertical="center"/>
    </xf>
    <xf numFmtId="185" fontId="24" fillId="2" borderId="0" xfId="0" applyNumberFormat="1" applyFont="1" applyFill="1" applyAlignment="1">
      <alignment vertical="center"/>
    </xf>
    <xf numFmtId="185" fontId="16" fillId="0" borderId="0" xfId="0" applyNumberFormat="1" applyFont="1" applyAlignment="1">
      <alignment vertical="center"/>
    </xf>
    <xf numFmtId="191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92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92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5" applyFont="1" applyAlignment="1">
      <alignment vertical="center"/>
    </xf>
    <xf numFmtId="0" fontId="16" fillId="2" borderId="0" xfId="55" applyFont="1" applyFill="1" applyBorder="1" applyAlignment="1">
      <alignment vertical="center"/>
    </xf>
    <xf numFmtId="0" fontId="29" fillId="0" borderId="0" xfId="55" applyFont="1" applyAlignment="1">
      <alignment horizontal="left" vertical="center"/>
    </xf>
    <xf numFmtId="0" fontId="29" fillId="5" borderId="0" xfId="55" applyFont="1" applyFill="1" applyAlignment="1">
      <alignment vertical="center"/>
    </xf>
    <xf numFmtId="177" fontId="16" fillId="2" borderId="0" xfId="55" applyNumberFormat="1" applyFont="1" applyFill="1" applyBorder="1" applyAlignment="1" applyProtection="1">
      <alignment horizontal="center" vertical="center"/>
      <protection locked="0"/>
    </xf>
    <xf numFmtId="177" fontId="30" fillId="0" borderId="0" xfId="55" applyNumberFormat="1" applyFont="1" applyBorder="1" applyAlignment="1" applyProtection="1">
      <alignment horizontal="center" vertical="center"/>
      <protection locked="0"/>
    </xf>
    <xf numFmtId="0" fontId="31" fillId="4" borderId="0" xfId="55" applyFont="1" applyFill="1" applyBorder="1" applyAlignment="1" applyProtection="1">
      <alignment horizontal="left" vertical="center" wrapText="1"/>
      <protection locked="0"/>
    </xf>
    <xf numFmtId="177" fontId="29" fillId="0" borderId="0" xfId="55" applyNumberFormat="1" applyFont="1" applyFill="1" applyBorder="1" applyAlignment="1" applyProtection="1">
      <alignment horizontal="left" vertical="center"/>
      <protection locked="0"/>
    </xf>
    <xf numFmtId="177" fontId="29" fillId="0" borderId="0" xfId="55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94" fontId="32" fillId="0" borderId="0" xfId="0" applyNumberFormat="1" applyFont="1" applyFill="1" applyAlignment="1">
      <alignment vertical="center"/>
    </xf>
    <xf numFmtId="187" fontId="29" fillId="0" borderId="0" xfId="0" applyNumberFormat="1" applyFont="1" applyFill="1" applyAlignment="1">
      <alignment vertical="center"/>
    </xf>
    <xf numFmtId="194" fontId="30" fillId="0" borderId="0" xfId="0" applyNumberFormat="1" applyFont="1" applyFill="1" applyAlignment="1">
      <alignment vertical="center"/>
    </xf>
    <xf numFmtId="190" fontId="29" fillId="0" borderId="0" xfId="0" applyNumberFormat="1" applyFont="1" applyFill="1" applyAlignment="1">
      <alignment vertical="center"/>
    </xf>
    <xf numFmtId="0" fontId="32" fillId="0" borderId="0" xfId="55" applyFont="1" applyAlignment="1">
      <alignment vertical="center"/>
    </xf>
    <xf numFmtId="0" fontId="30" fillId="0" borderId="0" xfId="55" applyFont="1" applyAlignment="1">
      <alignment vertical="center"/>
    </xf>
    <xf numFmtId="184" fontId="29" fillId="0" borderId="0" xfId="55" applyNumberFormat="1" applyFont="1" applyAlignment="1">
      <alignment vertical="center"/>
    </xf>
    <xf numFmtId="176" fontId="29" fillId="0" borderId="0" xfId="55" applyNumberFormat="1" applyFont="1" applyAlignment="1">
      <alignment vertical="center"/>
    </xf>
    <xf numFmtId="193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5" applyFont="1" applyAlignment="1">
      <alignment vertical="center"/>
    </xf>
    <xf numFmtId="177" fontId="35" fillId="0" borderId="0" xfId="55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" xfId="54"/>
    <cellStyle name="常规_260_conversion_table" xfId="55"/>
    <cellStyle name="常规 4" xfId="56"/>
    <cellStyle name="千位分隔 2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199834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14</xdr:col>
      <xdr:colOff>732790</xdr:colOff>
      <xdr:row>38</xdr:row>
      <xdr:rowOff>18415</xdr:rowOff>
    </xdr:from>
    <xdr:to>
      <xdr:col>17</xdr:col>
      <xdr:colOff>626110</xdr:colOff>
      <xdr:row>42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06015" y="111004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view="pageBreakPreview" zoomScaleNormal="100" zoomScaleSheetLayoutView="100" topLeftCell="A22" workbookViewId="0">
      <selection activeCell="I19" sqref="I19"/>
    </sheetView>
  </sheetViews>
  <sheetFormatPr defaultColWidth="9" defaultRowHeight="14.25"/>
  <cols>
    <col min="1" max="1" width="12.625" style="222" customWidth="1"/>
    <col min="2" max="2" width="15" style="222" customWidth="1"/>
    <col min="3" max="3" width="11.375" style="222" customWidth="1"/>
    <col min="4" max="4" width="6.5" style="222" customWidth="1"/>
    <col min="5" max="5" width="0.25" style="222" customWidth="1"/>
    <col min="6" max="6" width="8" style="222" customWidth="1"/>
    <col min="7" max="7" width="23.75" style="222" customWidth="1"/>
    <col min="8" max="8" width="16.875" style="222" customWidth="1"/>
    <col min="9" max="9" width="16.5" style="222" customWidth="1"/>
    <col min="10" max="10" width="15.875" style="222" customWidth="1"/>
    <col min="11" max="11" width="9" style="222"/>
    <col min="12" max="12" width="16" style="222" customWidth="1"/>
    <col min="13" max="16384" width="9" style="222"/>
  </cols>
  <sheetData>
    <row r="1" spans="1:3">
      <c r="A1" s="226"/>
      <c r="C1" s="227"/>
    </row>
    <row r="2" spans="3:3">
      <c r="C2" s="227"/>
    </row>
    <row r="3" ht="23.25" spans="3:7">
      <c r="C3" s="227"/>
      <c r="D3" s="228" t="s">
        <v>0</v>
      </c>
      <c r="E3" s="227"/>
      <c r="F3" s="227"/>
      <c r="G3" s="227"/>
    </row>
    <row r="4" ht="9.75" customHeight="1" spans="3:3">
      <c r="C4" s="227"/>
    </row>
    <row r="5" ht="12.95" customHeight="1" spans="3:3">
      <c r="C5" s="227"/>
    </row>
    <row r="6" ht="9.75" hidden="1" customHeight="1" spans="1:10">
      <c r="A6" s="227"/>
      <c r="B6" s="227"/>
      <c r="C6" s="227"/>
      <c r="D6" s="229"/>
      <c r="E6" s="227"/>
      <c r="F6" s="227"/>
      <c r="G6" s="227"/>
      <c r="H6" s="227"/>
      <c r="I6" s="227"/>
      <c r="J6" s="227"/>
    </row>
    <row r="7" ht="34" customHeight="1" spans="1:10">
      <c r="A7" s="230" t="s">
        <v>1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>
      <c r="A8" s="231"/>
      <c r="B8" s="231"/>
      <c r="C8" s="231"/>
      <c r="D8" s="231"/>
      <c r="E8" s="231"/>
      <c r="F8" s="231"/>
      <c r="G8" s="231"/>
      <c r="H8" s="231"/>
      <c r="I8" s="231"/>
      <c r="J8" s="231"/>
    </row>
    <row r="9" spans="1:10">
      <c r="A9" s="231" t="s">
        <v>2</v>
      </c>
      <c r="B9" s="231"/>
      <c r="C9" s="231"/>
      <c r="D9" s="231"/>
      <c r="E9" s="231"/>
      <c r="F9" s="231"/>
      <c r="G9" s="231"/>
      <c r="H9" s="231"/>
      <c r="I9" s="231"/>
      <c r="J9" s="231"/>
    </row>
    <row r="10" spans="1:10">
      <c r="A10" s="231" t="s">
        <v>3</v>
      </c>
      <c r="B10" s="231"/>
      <c r="C10" s="231"/>
      <c r="D10" s="231"/>
      <c r="E10" s="231"/>
      <c r="F10" s="231"/>
      <c r="G10" s="231"/>
      <c r="H10" s="231"/>
      <c r="I10" s="231"/>
      <c r="J10" s="231"/>
    </row>
    <row r="11" spans="1:10">
      <c r="A11" s="231" t="s">
        <v>4</v>
      </c>
      <c r="B11" s="231"/>
      <c r="C11" s="231"/>
      <c r="D11" s="231"/>
      <c r="E11" s="231"/>
      <c r="F11" s="231"/>
      <c r="G11" s="231"/>
      <c r="H11" s="231"/>
      <c r="I11" s="231"/>
      <c r="J11" s="231"/>
    </row>
    <row r="12" ht="12" customHeight="1" spans="1:10">
      <c r="A12" s="227"/>
      <c r="B12" s="227"/>
      <c r="C12" s="227"/>
      <c r="D12" s="227"/>
      <c r="E12" s="227"/>
      <c r="F12" s="227"/>
      <c r="G12" s="227"/>
      <c r="H12" s="227"/>
      <c r="I12" s="227"/>
      <c r="J12" s="227"/>
    </row>
    <row r="13" s="220" customFormat="1" ht="14.1" customHeight="1" spans="1:10">
      <c r="A13" s="232" t="s">
        <v>5</v>
      </c>
      <c r="B13" s="232"/>
      <c r="C13" s="232"/>
      <c r="D13" s="232"/>
      <c r="G13" s="232" t="s">
        <v>6</v>
      </c>
      <c r="H13" s="233">
        <v>46187</v>
      </c>
      <c r="I13" s="233"/>
      <c r="J13" s="270"/>
    </row>
    <row r="14" s="220" customFormat="1" ht="14.1" customHeight="1" spans="1:10">
      <c r="A14" s="232" t="s">
        <v>7</v>
      </c>
      <c r="B14" s="232"/>
      <c r="C14" s="232"/>
      <c r="D14" s="232"/>
      <c r="G14" s="232" t="s">
        <v>8</v>
      </c>
      <c r="H14" s="234" t="s">
        <v>9</v>
      </c>
      <c r="I14" s="271"/>
      <c r="J14" s="271"/>
    </row>
    <row r="15" s="220" customFormat="1" ht="14.1" customHeight="1" spans="1:10">
      <c r="A15" s="232" t="s">
        <v>10</v>
      </c>
      <c r="B15" s="232"/>
      <c r="C15" s="232"/>
      <c r="D15" s="232"/>
      <c r="G15" s="232" t="s">
        <v>11</v>
      </c>
      <c r="H15" s="235" t="s">
        <v>12</v>
      </c>
      <c r="I15" s="235"/>
      <c r="J15" s="235"/>
    </row>
    <row r="16" s="220" customFormat="1" ht="14.1" customHeight="1" spans="1:10">
      <c r="A16" s="232" t="s">
        <v>13</v>
      </c>
      <c r="B16" s="232"/>
      <c r="C16" s="232"/>
      <c r="D16" s="232"/>
      <c r="G16" s="232" t="s">
        <v>14</v>
      </c>
      <c r="H16" s="235" t="s">
        <v>15</v>
      </c>
      <c r="I16" s="235"/>
      <c r="J16" s="235"/>
    </row>
    <row r="17" s="220" customFormat="1" ht="14.1" customHeight="1" spans="1:10">
      <c r="A17" s="232" t="s">
        <v>16</v>
      </c>
      <c r="B17" s="232"/>
      <c r="C17" s="232"/>
      <c r="D17" s="232"/>
      <c r="G17" s="232" t="s">
        <v>17</v>
      </c>
      <c r="H17" s="236">
        <v>46193</v>
      </c>
      <c r="I17" s="272"/>
      <c r="J17" s="273"/>
    </row>
    <row r="18" s="220" customFormat="1" ht="14.1" customHeight="1" spans="1:10">
      <c r="A18" s="232" t="s">
        <v>18</v>
      </c>
      <c r="B18" s="237"/>
      <c r="C18" s="232"/>
      <c r="D18" s="232"/>
      <c r="E18" s="232"/>
      <c r="F18" s="232"/>
      <c r="G18" s="232" t="s">
        <v>19</v>
      </c>
      <c r="H18" s="231" t="s">
        <v>20</v>
      </c>
      <c r="I18" s="231"/>
      <c r="J18" s="231"/>
    </row>
    <row r="19" s="220" customFormat="1" ht="14.1" customHeight="1" spans="1:10">
      <c r="A19" s="232" t="s">
        <v>21</v>
      </c>
      <c r="B19" s="238"/>
      <c r="C19" s="232"/>
      <c r="D19" s="232"/>
      <c r="E19" s="232"/>
      <c r="F19" s="232"/>
      <c r="G19" s="232"/>
      <c r="H19" s="232"/>
      <c r="I19" s="232"/>
      <c r="J19" s="232"/>
    </row>
    <row r="20" s="220" customFormat="1" ht="14.1" customHeight="1" spans="1:10">
      <c r="A20" s="232" t="s">
        <v>22</v>
      </c>
      <c r="B20" s="232" t="s">
        <v>23</v>
      </c>
      <c r="D20" s="232"/>
      <c r="E20" s="232"/>
      <c r="F20" s="232"/>
      <c r="G20" s="232"/>
      <c r="H20" s="232"/>
      <c r="I20" s="232"/>
      <c r="J20" s="232"/>
    </row>
    <row r="21" ht="12.75" customHeight="1" spans="1:10">
      <c r="A21" s="227"/>
      <c r="B21" s="227"/>
      <c r="C21" s="227"/>
      <c r="D21" s="227"/>
      <c r="E21" s="227"/>
      <c r="F21" s="227"/>
      <c r="G21" s="232"/>
      <c r="H21" s="232"/>
      <c r="I21" s="232"/>
      <c r="J21" s="232"/>
    </row>
    <row r="22" ht="12.75" customHeight="1" spans="1:10">
      <c r="A22" s="227"/>
      <c r="B22" s="227"/>
      <c r="C22" s="227"/>
      <c r="D22" s="227"/>
      <c r="E22" s="227"/>
      <c r="F22" s="227"/>
      <c r="G22" s="239"/>
      <c r="H22" s="227"/>
      <c r="I22" s="227"/>
      <c r="J22" s="227"/>
    </row>
    <row r="23" ht="12.75" customHeight="1" spans="1:10">
      <c r="A23" s="227"/>
      <c r="B23" s="227"/>
      <c r="C23" s="227"/>
      <c r="D23" s="227"/>
      <c r="E23" s="227"/>
      <c r="F23" s="227"/>
      <c r="G23" s="239"/>
      <c r="H23" s="227"/>
      <c r="I23" s="227"/>
      <c r="J23" s="227"/>
    </row>
    <row r="24" ht="12.75" customHeight="1" spans="1:10">
      <c r="A24" s="227"/>
      <c r="B24" s="227"/>
      <c r="C24" s="227"/>
      <c r="D24" s="227"/>
      <c r="E24" s="227"/>
      <c r="F24" s="227"/>
      <c r="G24" s="239"/>
      <c r="H24" s="227"/>
      <c r="I24" s="227"/>
      <c r="J24" s="227"/>
    </row>
    <row r="25" ht="27.75" customHeight="1" spans="1:10">
      <c r="A25" s="240" t="s">
        <v>24</v>
      </c>
      <c r="B25" s="240" t="s">
        <v>25</v>
      </c>
      <c r="C25" s="240" t="s">
        <v>26</v>
      </c>
      <c r="D25" s="240" t="s">
        <v>27</v>
      </c>
      <c r="E25" s="240"/>
      <c r="F25" s="240"/>
      <c r="G25" s="240"/>
      <c r="H25" s="241" t="s">
        <v>28</v>
      </c>
      <c r="I25" s="241" t="s">
        <v>29</v>
      </c>
      <c r="J25" s="241" t="s">
        <v>30</v>
      </c>
    </row>
    <row r="26" s="221" customFormat="1" ht="69" customHeight="1" spans="1:10">
      <c r="A26" s="242">
        <v>447310</v>
      </c>
      <c r="B26" s="243" t="s">
        <v>31</v>
      </c>
      <c r="C26" s="244">
        <v>20000</v>
      </c>
      <c r="D26" s="245" t="s">
        <v>32</v>
      </c>
      <c r="E26" s="246"/>
      <c r="F26" s="246"/>
      <c r="G26" s="247"/>
      <c r="H26" s="248">
        <f>'PL-Home Shopping'!F40</f>
        <v>1543</v>
      </c>
      <c r="I26" s="274">
        <v>20.4</v>
      </c>
      <c r="J26" s="275">
        <f t="shared" ref="J26:J28" si="0">H26*I26</f>
        <v>31477.2</v>
      </c>
    </row>
    <row r="27" s="221" customFormat="1" ht="69" customHeight="1" spans="1:10">
      <c r="A27" s="242"/>
      <c r="B27" s="243"/>
      <c r="C27" s="244"/>
      <c r="D27" s="245"/>
      <c r="E27" s="246"/>
      <c r="F27" s="246"/>
      <c r="G27" s="247"/>
      <c r="H27" s="248"/>
      <c r="I27" s="274"/>
      <c r="J27" s="275"/>
    </row>
    <row r="28" s="221" customFormat="1" ht="69" customHeight="1" spans="1:10">
      <c r="A28" s="242"/>
      <c r="B28" s="243"/>
      <c r="C28" s="244"/>
      <c r="D28" s="245"/>
      <c r="E28" s="246"/>
      <c r="F28" s="246"/>
      <c r="G28" s="247"/>
      <c r="H28" s="248"/>
      <c r="I28" s="274"/>
      <c r="J28" s="275"/>
    </row>
    <row r="29" s="221" customFormat="1" ht="69" customHeight="1" spans="1:10">
      <c r="A29" s="244"/>
      <c r="B29" s="249"/>
      <c r="C29" s="244"/>
      <c r="D29" s="245"/>
      <c r="E29" s="246"/>
      <c r="F29" s="246"/>
      <c r="G29" s="247"/>
      <c r="H29" s="248"/>
      <c r="I29" s="276"/>
      <c r="J29" s="275"/>
    </row>
    <row r="30" s="222" customFormat="1" ht="30" customHeight="1" spans="1:10">
      <c r="A30" s="250" t="s">
        <v>33</v>
      </c>
      <c r="B30" s="251"/>
      <c r="C30" s="251"/>
      <c r="D30" s="251"/>
      <c r="E30" s="251"/>
      <c r="F30" s="251"/>
      <c r="G30" s="252"/>
      <c r="H30" s="253">
        <f>SUM(H26:H28)</f>
        <v>1543</v>
      </c>
      <c r="I30" s="277"/>
      <c r="J30" s="275">
        <f>SUM(J26:J28)</f>
        <v>31477.2</v>
      </c>
    </row>
    <row r="31" ht="9" customHeight="1" spans="1:10">
      <c r="A31" s="254"/>
      <c r="B31" s="254"/>
      <c r="C31" s="254"/>
      <c r="D31" s="255"/>
      <c r="E31" s="255"/>
      <c r="F31" s="255"/>
      <c r="G31" s="255"/>
      <c r="H31" s="254"/>
      <c r="I31" s="278"/>
      <c r="J31" s="278"/>
    </row>
    <row r="32" s="222" customFormat="1" ht="32.25" customHeight="1" spans="1:10">
      <c r="A32" s="256" t="str">
        <f>G175&amp;"ONLY"&amp;"(IN US DOLLARS)"</f>
        <v>SAY TOTAL  THIRTY ONE THOUSAND FOUR HUNDRED SEVENTY SEVEN AND CENTS TWENTY ONLY(IN US DOLLARS)</v>
      </c>
      <c r="B32" s="256"/>
      <c r="C32" s="256"/>
      <c r="D32" s="256"/>
      <c r="E32" s="256"/>
      <c r="F32" s="256"/>
      <c r="G32" s="256"/>
      <c r="H32" s="256"/>
      <c r="I32" s="256"/>
      <c r="J32" s="256"/>
    </row>
    <row r="33" ht="6.95" customHeight="1" spans="1:10">
      <c r="A33" s="257"/>
      <c r="B33" s="257"/>
      <c r="C33" s="257"/>
      <c r="D33" s="257"/>
      <c r="E33" s="257"/>
      <c r="F33" s="257"/>
      <c r="G33" s="257"/>
      <c r="H33" s="257"/>
      <c r="I33" s="257"/>
      <c r="J33" s="257"/>
    </row>
    <row r="34" ht="11.1" customHeight="1" spans="1:10">
      <c r="A34" s="257"/>
      <c r="B34" s="258"/>
      <c r="C34" s="258"/>
      <c r="D34" s="258"/>
      <c r="E34" s="258"/>
      <c r="F34" s="258"/>
      <c r="G34" s="258"/>
      <c r="H34" s="258"/>
      <c r="I34" s="258"/>
      <c r="J34" s="258"/>
    </row>
    <row r="35" ht="11.1" customHeight="1" spans="1:10">
      <c r="A35" s="258"/>
      <c r="B35" s="258"/>
      <c r="C35" s="258"/>
      <c r="D35" s="258"/>
      <c r="E35" s="258"/>
      <c r="F35" s="258"/>
      <c r="G35" s="258"/>
      <c r="H35" s="258"/>
      <c r="I35" s="258"/>
      <c r="J35" s="258"/>
    </row>
    <row r="36" ht="11.1" customHeight="1" spans="1:10">
      <c r="A36" s="258"/>
      <c r="B36" s="258"/>
      <c r="C36" s="258"/>
      <c r="D36" s="258"/>
      <c r="E36" s="258"/>
      <c r="F36" s="258"/>
      <c r="G36" s="258"/>
      <c r="H36" s="258"/>
      <c r="I36" s="258"/>
      <c r="J36" s="258"/>
    </row>
    <row r="37" ht="15.75" customHeight="1" spans="1:10">
      <c r="A37" s="223" t="s">
        <v>34</v>
      </c>
      <c r="B37" s="227"/>
      <c r="C37" s="227"/>
      <c r="D37" s="227"/>
      <c r="E37" s="227"/>
      <c r="F37" s="227"/>
      <c r="G37" s="223" t="s">
        <v>35</v>
      </c>
      <c r="H37" s="259"/>
      <c r="I37" s="279">
        <f>'PL-Home Shopping'!F41</f>
        <v>201</v>
      </c>
      <c r="J37" s="280"/>
    </row>
    <row r="38" ht="15.75" customHeight="1" spans="1:9">
      <c r="A38" s="223" t="s">
        <v>36</v>
      </c>
      <c r="B38" s="227"/>
      <c r="C38" s="227"/>
      <c r="D38" s="227"/>
      <c r="E38" s="227"/>
      <c r="F38" s="227"/>
      <c r="G38" s="223" t="s">
        <v>37</v>
      </c>
      <c r="H38" s="223"/>
      <c r="I38" s="281">
        <f>'PL-Home Shopping'!F43</f>
        <v>1306.5</v>
      </c>
    </row>
    <row r="39" ht="15.75" customHeight="1" spans="1:9">
      <c r="A39" s="223" t="s">
        <v>38</v>
      </c>
      <c r="B39" s="227"/>
      <c r="C39" s="227"/>
      <c r="D39" s="227"/>
      <c r="E39" s="227"/>
      <c r="F39" s="227"/>
      <c r="G39" s="223" t="s">
        <v>39</v>
      </c>
      <c r="H39" s="223"/>
      <c r="I39" s="281">
        <f>'PL-Home Shopping'!F42</f>
        <v>1507.5</v>
      </c>
    </row>
    <row r="40" ht="15.75" customHeight="1" spans="1:9">
      <c r="A40" s="223" t="s">
        <v>40</v>
      </c>
      <c r="B40" s="227"/>
      <c r="C40" s="227"/>
      <c r="D40" s="227"/>
      <c r="E40" s="227"/>
      <c r="F40" s="227"/>
      <c r="G40" s="223" t="s">
        <v>41</v>
      </c>
      <c r="H40" s="223"/>
      <c r="I40" s="282" t="s">
        <v>42</v>
      </c>
    </row>
    <row r="41" ht="15.75" customHeight="1" spans="1:9">
      <c r="A41" s="223" t="s">
        <v>43</v>
      </c>
      <c r="B41" s="227"/>
      <c r="C41" s="227"/>
      <c r="D41" s="227"/>
      <c r="E41" s="227"/>
      <c r="F41" s="227"/>
      <c r="G41" s="227"/>
      <c r="H41" s="227"/>
      <c r="I41" s="227"/>
    </row>
    <row r="42" ht="15.75" customHeight="1" spans="1:10">
      <c r="A42" s="227"/>
      <c r="B42" s="227"/>
      <c r="C42" s="227"/>
      <c r="D42" s="227"/>
      <c r="E42" s="227"/>
      <c r="F42" s="227"/>
      <c r="G42" s="227"/>
      <c r="H42" s="227"/>
      <c r="I42" s="227"/>
      <c r="J42" s="227"/>
    </row>
    <row r="43" ht="15.75" customHeight="1" spans="1:10">
      <c r="A43" s="227"/>
      <c r="B43" s="227"/>
      <c r="C43" s="227"/>
      <c r="D43" s="227"/>
      <c r="E43" s="227"/>
      <c r="F43" s="227"/>
      <c r="G43" s="227"/>
      <c r="H43" s="227"/>
      <c r="I43" s="227"/>
      <c r="J43" s="227"/>
    </row>
    <row r="44" s="223" customFormat="1" ht="15.75" customHeight="1" spans="1:14">
      <c r="A44" s="223" t="s">
        <v>44</v>
      </c>
      <c r="B44" s="260" t="s">
        <v>45</v>
      </c>
      <c r="I44" s="283"/>
      <c r="J44" s="283"/>
      <c r="K44" s="283"/>
      <c r="L44" s="283"/>
      <c r="M44" s="283"/>
      <c r="N44" s="283"/>
    </row>
    <row r="45" s="223" customFormat="1" ht="15.75" customHeight="1" spans="2:14">
      <c r="B45" s="261" t="s">
        <v>46</v>
      </c>
      <c r="I45" s="283"/>
      <c r="J45" s="283"/>
      <c r="K45" s="283"/>
      <c r="L45" s="283"/>
      <c r="M45" s="283"/>
      <c r="N45" s="283"/>
    </row>
    <row r="46" s="223" customFormat="1" ht="30" customHeight="1" spans="2:14">
      <c r="B46" s="258" t="s">
        <v>47</v>
      </c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</row>
    <row r="47" s="223" customFormat="1" ht="15.75" customHeight="1" spans="1:10">
      <c r="A47" s="223" t="s">
        <v>48</v>
      </c>
      <c r="B47" s="261" t="s">
        <v>49</v>
      </c>
      <c r="C47" s="262"/>
      <c r="D47" s="262"/>
      <c r="E47" s="262"/>
      <c r="F47" s="262"/>
      <c r="G47" s="262"/>
      <c r="H47" s="262"/>
      <c r="I47" s="262"/>
      <c r="J47" s="262"/>
    </row>
    <row r="48" s="223" customFormat="1" ht="15.75" customHeight="1" spans="2:11">
      <c r="B48" s="223" t="s">
        <v>50</v>
      </c>
      <c r="C48" s="262"/>
      <c r="D48" s="262"/>
      <c r="E48" s="262"/>
      <c r="F48" s="262"/>
      <c r="G48" s="262"/>
      <c r="H48" s="262"/>
      <c r="I48" s="262"/>
      <c r="J48" s="262"/>
      <c r="K48" s="262"/>
    </row>
    <row r="49" s="223" customFormat="1" ht="15.75" customHeight="1" spans="2:10">
      <c r="B49" s="223" t="s">
        <v>51</v>
      </c>
      <c r="C49" s="262"/>
      <c r="D49" s="262"/>
      <c r="E49" s="262"/>
      <c r="F49" s="262"/>
      <c r="G49" s="262"/>
      <c r="H49" s="262"/>
      <c r="I49" s="262"/>
      <c r="J49" s="262"/>
    </row>
    <row r="50" s="223" customFormat="1" ht="15.75" customHeight="1" spans="2:10">
      <c r="B50" s="263" t="s">
        <v>52</v>
      </c>
      <c r="C50" s="262"/>
      <c r="D50" s="262"/>
      <c r="E50" s="262"/>
      <c r="F50" s="262"/>
      <c r="G50" s="262"/>
      <c r="H50" s="262"/>
      <c r="I50" s="262"/>
      <c r="J50" s="262"/>
    </row>
    <row r="51" ht="15.75" customHeight="1" spans="1:18">
      <c r="A51" s="223" t="s">
        <v>53</v>
      </c>
      <c r="B51" s="264" t="s">
        <v>54</v>
      </c>
      <c r="C51" s="265"/>
      <c r="D51" s="266"/>
      <c r="E51" s="266"/>
      <c r="F51" s="266"/>
      <c r="G51" s="223"/>
      <c r="H51" s="223"/>
      <c r="I51" s="262"/>
      <c r="J51" s="262"/>
      <c r="K51" s="223"/>
      <c r="L51" s="223"/>
      <c r="M51" s="223"/>
      <c r="N51" s="223"/>
      <c r="O51" s="223"/>
      <c r="P51" s="223"/>
      <c r="Q51" s="223"/>
      <c r="R51" s="223"/>
    </row>
    <row r="52" ht="15.75" customHeight="1" spans="1:18">
      <c r="A52" s="223"/>
      <c r="B52" s="264" t="s">
        <v>55</v>
      </c>
      <c r="C52" s="265" t="s">
        <v>56</v>
      </c>
      <c r="D52" s="266"/>
      <c r="E52" s="266"/>
      <c r="F52" s="266"/>
      <c r="G52" s="223"/>
      <c r="H52" s="223"/>
      <c r="I52" s="262"/>
      <c r="J52" s="262"/>
      <c r="K52" s="223"/>
      <c r="L52" s="223"/>
      <c r="M52" s="223"/>
      <c r="N52" s="223"/>
      <c r="O52" s="223"/>
      <c r="P52" s="223"/>
      <c r="Q52" s="223"/>
      <c r="R52" s="223"/>
    </row>
    <row r="53" ht="15.75" customHeight="1" spans="1:18">
      <c r="A53" s="223" t="s">
        <v>57</v>
      </c>
      <c r="B53" s="223" t="s">
        <v>45</v>
      </c>
      <c r="C53" s="262"/>
      <c r="E53" s="262"/>
      <c r="F53" s="262"/>
      <c r="H53" s="262"/>
      <c r="I53" s="262"/>
      <c r="J53" s="262"/>
      <c r="K53" s="223"/>
      <c r="L53" s="223"/>
      <c r="M53" s="223"/>
      <c r="N53" s="223"/>
      <c r="O53" s="223"/>
      <c r="P53" s="223"/>
      <c r="Q53" s="223"/>
      <c r="R53" s="223"/>
    </row>
    <row r="54" ht="15.75" customHeight="1" spans="1:18">
      <c r="A54" s="223"/>
      <c r="B54" s="223" t="s">
        <v>52</v>
      </c>
      <c r="D54" s="262"/>
      <c r="E54" s="262"/>
      <c r="F54" s="262"/>
      <c r="G54" s="262"/>
      <c r="H54" s="262"/>
      <c r="I54" s="262"/>
      <c r="J54" s="262"/>
      <c r="K54" s="223"/>
      <c r="L54" s="223"/>
      <c r="M54" s="223"/>
      <c r="N54" s="223"/>
      <c r="O54" s="223"/>
      <c r="P54" s="223"/>
      <c r="Q54" s="223"/>
      <c r="R54" s="223"/>
    </row>
    <row r="55" ht="15.75" customHeight="1" spans="1:18">
      <c r="A55" s="223"/>
      <c r="B55" s="223" t="s">
        <v>46</v>
      </c>
      <c r="C55" s="262"/>
      <c r="D55" s="262"/>
      <c r="E55" s="262"/>
      <c r="F55" s="262"/>
      <c r="G55" s="262"/>
      <c r="H55" s="262"/>
      <c r="I55" s="262"/>
      <c r="J55" s="262"/>
      <c r="K55" s="223"/>
      <c r="L55" s="223"/>
      <c r="M55" s="223"/>
      <c r="N55" s="223"/>
      <c r="O55" s="223"/>
      <c r="P55" s="223"/>
      <c r="Q55" s="223"/>
      <c r="R55" s="223"/>
    </row>
    <row r="56" ht="15" spans="1:12">
      <c r="A56" s="267" t="s">
        <v>58</v>
      </c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</row>
    <row r="57" ht="15.75" spans="1:12">
      <c r="A57" s="268" t="s">
        <v>59</v>
      </c>
      <c r="B57" s="268"/>
      <c r="C57" s="268"/>
      <c r="D57" s="269"/>
      <c r="E57" s="269"/>
      <c r="F57" s="269"/>
      <c r="G57" s="269"/>
      <c r="H57" s="269"/>
      <c r="I57" s="269"/>
      <c r="J57" s="269"/>
      <c r="K57" s="269"/>
      <c r="L57" s="269"/>
    </row>
    <row r="58" spans="1:10">
      <c r="A58" s="227"/>
      <c r="B58" s="227"/>
      <c r="C58" s="227"/>
      <c r="D58" s="227"/>
      <c r="E58" s="227"/>
      <c r="F58" s="227"/>
      <c r="G58" s="227"/>
      <c r="H58" s="227"/>
      <c r="I58" s="227"/>
      <c r="J58" s="227"/>
    </row>
    <row r="59" spans="1:10">
      <c r="A59" s="227"/>
      <c r="B59" s="227"/>
      <c r="C59" s="227"/>
      <c r="D59" s="227"/>
      <c r="E59" s="227"/>
      <c r="F59" s="227"/>
      <c r="G59" s="227"/>
      <c r="H59" s="227"/>
      <c r="I59" s="227"/>
      <c r="J59" s="227"/>
    </row>
    <row r="60" spans="1:10">
      <c r="A60" s="227"/>
      <c r="B60" s="227"/>
      <c r="C60" s="227"/>
      <c r="D60" s="227"/>
      <c r="E60" s="227"/>
      <c r="F60" s="227"/>
      <c r="G60" s="227"/>
      <c r="H60" s="227"/>
      <c r="I60" s="227"/>
      <c r="J60" s="227"/>
    </row>
    <row r="61" spans="1:10">
      <c r="A61" s="227"/>
      <c r="B61" s="227"/>
      <c r="C61" s="227"/>
      <c r="D61" s="227"/>
      <c r="E61" s="227"/>
      <c r="F61" s="227"/>
      <c r="G61" s="227"/>
      <c r="H61" s="227"/>
      <c r="I61" s="227"/>
      <c r="J61" s="227"/>
    </row>
    <row r="62" spans="1:10">
      <c r="A62" s="227"/>
      <c r="B62" s="227"/>
      <c r="C62" s="227"/>
      <c r="D62" s="227"/>
      <c r="E62" s="227"/>
      <c r="F62" s="227"/>
      <c r="G62" s="227"/>
      <c r="H62" s="227"/>
      <c r="I62" s="227"/>
      <c r="J62" s="227"/>
    </row>
    <row r="63" spans="1:10">
      <c r="A63" s="227"/>
      <c r="B63" s="227"/>
      <c r="C63" s="227"/>
      <c r="D63" s="227"/>
      <c r="E63" s="227"/>
      <c r="F63" s="227"/>
      <c r="G63" s="227"/>
      <c r="H63" s="227"/>
      <c r="I63" s="227"/>
      <c r="J63" s="227"/>
    </row>
    <row r="64" spans="1:10">
      <c r="A64" s="227"/>
      <c r="B64" s="227"/>
      <c r="C64" s="227"/>
      <c r="D64" s="227"/>
      <c r="E64" s="227"/>
      <c r="F64" s="227"/>
      <c r="G64" s="227"/>
      <c r="H64" s="227"/>
      <c r="I64" s="227"/>
      <c r="J64" s="227"/>
    </row>
    <row r="65" spans="1:10">
      <c r="A65" s="227"/>
      <c r="B65" s="227"/>
      <c r="C65" s="227"/>
      <c r="D65" s="227"/>
      <c r="E65" s="227"/>
      <c r="F65" s="227"/>
      <c r="G65" s="227"/>
      <c r="H65" s="227"/>
      <c r="I65" s="227"/>
      <c r="J65" s="227"/>
    </row>
    <row r="66" spans="1:10">
      <c r="A66" s="227"/>
      <c r="B66" s="227"/>
      <c r="C66" s="227"/>
      <c r="D66" s="227"/>
      <c r="E66" s="227"/>
      <c r="F66" s="227"/>
      <c r="G66" s="227"/>
      <c r="H66" s="227"/>
      <c r="I66" s="227"/>
      <c r="J66" s="227"/>
    </row>
    <row r="67" spans="1:10">
      <c r="A67" s="227"/>
      <c r="B67" s="227"/>
      <c r="C67" s="227"/>
      <c r="D67" s="227"/>
      <c r="E67" s="227"/>
      <c r="F67" s="227"/>
      <c r="G67" s="227"/>
      <c r="H67" s="227"/>
      <c r="I67" s="227"/>
      <c r="J67" s="227"/>
    </row>
    <row r="68" spans="1:10">
      <c r="A68" s="227"/>
      <c r="B68" s="227"/>
      <c r="C68" s="227"/>
      <c r="D68" s="227"/>
      <c r="E68" s="227"/>
      <c r="F68" s="227"/>
      <c r="G68" s="227"/>
      <c r="H68" s="227"/>
      <c r="I68" s="227"/>
      <c r="J68" s="227"/>
    </row>
    <row r="69" spans="1:10">
      <c r="A69" s="227"/>
      <c r="B69" s="227"/>
      <c r="C69" s="227"/>
      <c r="D69" s="227"/>
      <c r="E69" s="227"/>
      <c r="F69" s="227"/>
      <c r="G69" s="227"/>
      <c r="H69" s="227"/>
      <c r="I69" s="227"/>
      <c r="J69" s="227"/>
    </row>
    <row r="70" spans="1:10">
      <c r="A70" s="227"/>
      <c r="B70" s="227"/>
      <c r="C70" s="227"/>
      <c r="D70" s="227"/>
      <c r="E70" s="227"/>
      <c r="F70" s="227"/>
      <c r="G70" s="227"/>
      <c r="H70" s="227"/>
      <c r="I70" s="227"/>
      <c r="J70" s="227"/>
    </row>
    <row r="71" spans="1:10">
      <c r="A71" s="227"/>
      <c r="B71" s="227"/>
      <c r="C71" s="227"/>
      <c r="D71" s="227"/>
      <c r="E71" s="227"/>
      <c r="F71" s="227"/>
      <c r="G71" s="227"/>
      <c r="H71" s="227"/>
      <c r="I71" s="227"/>
      <c r="J71" s="227"/>
    </row>
    <row r="72" spans="1:10">
      <c r="A72" s="227"/>
      <c r="B72" s="227"/>
      <c r="C72" s="227"/>
      <c r="D72" s="227"/>
      <c r="E72" s="227"/>
      <c r="F72" s="227"/>
      <c r="G72" s="227"/>
      <c r="H72" s="227"/>
      <c r="I72" s="227"/>
      <c r="J72" s="227"/>
    </row>
    <row r="73" spans="1:10">
      <c r="A73" s="227"/>
      <c r="B73" s="227"/>
      <c r="C73" s="227"/>
      <c r="D73" s="227"/>
      <c r="E73" s="227"/>
      <c r="F73" s="227"/>
      <c r="G73" s="227"/>
      <c r="H73" s="227"/>
      <c r="I73" s="227"/>
      <c r="J73" s="227"/>
    </row>
    <row r="74" spans="1:10">
      <c r="A74" s="227"/>
      <c r="B74" s="227"/>
      <c r="C74" s="227"/>
      <c r="D74" s="227"/>
      <c r="E74" s="227"/>
      <c r="F74" s="227"/>
      <c r="G74" s="227"/>
      <c r="H74" s="227"/>
      <c r="I74" s="227"/>
      <c r="J74" s="227"/>
    </row>
    <row r="75" spans="1:10">
      <c r="A75" s="227"/>
      <c r="B75" s="227"/>
      <c r="C75" s="227"/>
      <c r="D75" s="227"/>
      <c r="E75" s="227"/>
      <c r="F75" s="227"/>
      <c r="G75" s="227"/>
      <c r="H75" s="227"/>
      <c r="I75" s="227"/>
      <c r="J75" s="227"/>
    </row>
    <row r="76" spans="1:10">
      <c r="A76" s="227"/>
      <c r="B76" s="227"/>
      <c r="C76" s="227"/>
      <c r="D76" s="227"/>
      <c r="E76" s="227"/>
      <c r="F76" s="227"/>
      <c r="G76" s="227"/>
      <c r="H76" s="227"/>
      <c r="I76" s="227"/>
      <c r="J76" s="227"/>
    </row>
    <row r="77" spans="1:10">
      <c r="A77" s="227"/>
      <c r="B77" s="227"/>
      <c r="C77" s="227"/>
      <c r="D77" s="227"/>
      <c r="E77" s="227"/>
      <c r="F77" s="227"/>
      <c r="G77" s="227"/>
      <c r="H77" s="227"/>
      <c r="I77" s="227"/>
      <c r="J77" s="227"/>
    </row>
    <row r="78" spans="1:10">
      <c r="A78" s="227"/>
      <c r="B78" s="227"/>
      <c r="C78" s="227"/>
      <c r="D78" s="227"/>
      <c r="E78" s="227"/>
      <c r="F78" s="227"/>
      <c r="G78" s="227"/>
      <c r="H78" s="227"/>
      <c r="I78" s="227"/>
      <c r="J78" s="227"/>
    </row>
    <row r="79" spans="1:10">
      <c r="A79" s="227"/>
      <c r="B79" s="227"/>
      <c r="C79" s="227"/>
      <c r="D79" s="227"/>
      <c r="E79" s="227"/>
      <c r="F79" s="227"/>
      <c r="G79" s="227"/>
      <c r="H79" s="227"/>
      <c r="I79" s="227"/>
      <c r="J79" s="227"/>
    </row>
    <row r="80" spans="1:10">
      <c r="A80" s="227"/>
      <c r="B80" s="227"/>
      <c r="C80" s="227"/>
      <c r="D80" s="227"/>
      <c r="E80" s="227"/>
      <c r="F80" s="227"/>
      <c r="G80" s="227"/>
      <c r="H80" s="227"/>
      <c r="I80" s="227"/>
      <c r="J80" s="227"/>
    </row>
    <row r="81" spans="1:10">
      <c r="A81" s="227"/>
      <c r="B81" s="227"/>
      <c r="C81" s="227"/>
      <c r="D81" s="227"/>
      <c r="E81" s="227"/>
      <c r="F81" s="227"/>
      <c r="G81" s="227"/>
      <c r="H81" s="227"/>
      <c r="I81" s="227"/>
      <c r="J81" s="227"/>
    </row>
    <row r="82" spans="1:10">
      <c r="A82" s="227"/>
      <c r="B82" s="227"/>
      <c r="C82" s="227"/>
      <c r="D82" s="227"/>
      <c r="E82" s="227"/>
      <c r="F82" s="227"/>
      <c r="G82" s="227"/>
      <c r="H82" s="227"/>
      <c r="I82" s="227"/>
      <c r="J82" s="227"/>
    </row>
    <row r="83" spans="1:10">
      <c r="A83" s="227"/>
      <c r="B83" s="227"/>
      <c r="C83" s="227"/>
      <c r="D83" s="227"/>
      <c r="E83" s="227"/>
      <c r="F83" s="227"/>
      <c r="G83" s="227"/>
      <c r="H83" s="227"/>
      <c r="I83" s="227"/>
      <c r="J83" s="227"/>
    </row>
    <row r="84" spans="1:10">
      <c r="A84" s="227"/>
      <c r="B84" s="227"/>
      <c r="C84" s="227"/>
      <c r="D84" s="227"/>
      <c r="E84" s="227"/>
      <c r="F84" s="227"/>
      <c r="G84" s="227"/>
      <c r="H84" s="227"/>
      <c r="I84" s="227"/>
      <c r="J84" s="227"/>
    </row>
    <row r="85" spans="1:10">
      <c r="A85" s="227"/>
      <c r="B85" s="227"/>
      <c r="C85" s="227"/>
      <c r="D85" s="227"/>
      <c r="E85" s="227"/>
      <c r="F85" s="227"/>
      <c r="G85" s="227"/>
      <c r="H85" s="227"/>
      <c r="I85" s="227"/>
      <c r="J85" s="227"/>
    </row>
    <row r="86" spans="1:10">
      <c r="A86" s="227"/>
      <c r="B86" s="227"/>
      <c r="C86" s="227"/>
      <c r="D86" s="227"/>
      <c r="E86" s="227"/>
      <c r="F86" s="227"/>
      <c r="G86" s="227"/>
      <c r="H86" s="227"/>
      <c r="I86" s="227"/>
      <c r="J86" s="227"/>
    </row>
    <row r="87" spans="1:10">
      <c r="A87" s="227"/>
      <c r="B87" s="227"/>
      <c r="C87" s="227"/>
      <c r="D87" s="227"/>
      <c r="E87" s="227"/>
      <c r="F87" s="227"/>
      <c r="G87" s="227"/>
      <c r="H87" s="227"/>
      <c r="I87" s="227"/>
      <c r="J87" s="227"/>
    </row>
    <row r="88" spans="1:10">
      <c r="A88" s="227"/>
      <c r="B88" s="227"/>
      <c r="C88" s="227"/>
      <c r="D88" s="227"/>
      <c r="E88" s="227"/>
      <c r="F88" s="227"/>
      <c r="G88" s="227"/>
      <c r="H88" s="227"/>
      <c r="I88" s="227"/>
      <c r="J88" s="227"/>
    </row>
    <row r="89" spans="1:10">
      <c r="A89" s="227"/>
      <c r="B89" s="227"/>
      <c r="C89" s="227"/>
      <c r="D89" s="227"/>
      <c r="E89" s="227"/>
      <c r="F89" s="227"/>
      <c r="G89" s="227"/>
      <c r="H89" s="227"/>
      <c r="I89" s="227"/>
      <c r="J89" s="227"/>
    </row>
    <row r="90" spans="1:10">
      <c r="A90" s="227"/>
      <c r="B90" s="227"/>
      <c r="C90" s="227"/>
      <c r="D90" s="227"/>
      <c r="E90" s="227"/>
      <c r="F90" s="227"/>
      <c r="G90" s="227"/>
      <c r="H90" s="227"/>
      <c r="I90" s="227"/>
      <c r="J90" s="227"/>
    </row>
    <row r="91" spans="1:10">
      <c r="A91" s="227"/>
      <c r="B91" s="227"/>
      <c r="C91" s="227"/>
      <c r="D91" s="227"/>
      <c r="E91" s="227"/>
      <c r="F91" s="227"/>
      <c r="G91" s="227"/>
      <c r="H91" s="227"/>
      <c r="I91" s="227"/>
      <c r="J91" s="227"/>
    </row>
    <row r="92" spans="1:10">
      <c r="A92" s="227"/>
      <c r="B92" s="227"/>
      <c r="C92" s="227"/>
      <c r="D92" s="227"/>
      <c r="E92" s="227"/>
      <c r="F92" s="227"/>
      <c r="G92" s="227"/>
      <c r="H92" s="227"/>
      <c r="I92" s="227"/>
      <c r="J92" s="227"/>
    </row>
    <row r="93" spans="1:10">
      <c r="A93" s="227"/>
      <c r="B93" s="227"/>
      <c r="C93" s="227"/>
      <c r="D93" s="227"/>
      <c r="E93" s="227"/>
      <c r="F93" s="227"/>
      <c r="G93" s="227"/>
      <c r="H93" s="227"/>
      <c r="I93" s="227"/>
      <c r="J93" s="227"/>
    </row>
    <row r="94" spans="1:10">
      <c r="A94" s="227"/>
      <c r="B94" s="227"/>
      <c r="C94" s="227"/>
      <c r="D94" s="227"/>
      <c r="E94" s="227"/>
      <c r="F94" s="227"/>
      <c r="G94" s="227"/>
      <c r="H94" s="227"/>
      <c r="I94" s="227"/>
      <c r="J94" s="227"/>
    </row>
    <row r="95" spans="1:10">
      <c r="A95" s="227"/>
      <c r="B95" s="227"/>
      <c r="C95" s="227"/>
      <c r="D95" s="227"/>
      <c r="E95" s="227"/>
      <c r="F95" s="227"/>
      <c r="G95" s="227"/>
      <c r="H95" s="227"/>
      <c r="I95" s="227"/>
      <c r="J95" s="227"/>
    </row>
    <row r="96" spans="1:10">
      <c r="A96" s="227"/>
      <c r="B96" s="227"/>
      <c r="C96" s="227"/>
      <c r="D96" s="227"/>
      <c r="E96" s="227"/>
      <c r="F96" s="227"/>
      <c r="G96" s="227"/>
      <c r="H96" s="227"/>
      <c r="I96" s="227"/>
      <c r="J96" s="227"/>
    </row>
    <row r="97" spans="1:10">
      <c r="A97" s="227"/>
      <c r="B97" s="227"/>
      <c r="C97" s="227"/>
      <c r="D97" s="227"/>
      <c r="E97" s="227"/>
      <c r="F97" s="227"/>
      <c r="G97" s="227"/>
      <c r="H97" s="227"/>
      <c r="I97" s="227"/>
      <c r="J97" s="227"/>
    </row>
    <row r="98" spans="1:10">
      <c r="A98" s="227"/>
      <c r="B98" s="227"/>
      <c r="C98" s="227"/>
      <c r="D98" s="227"/>
      <c r="E98" s="227"/>
      <c r="F98" s="227"/>
      <c r="G98" s="227"/>
      <c r="H98" s="227"/>
      <c r="I98" s="227"/>
      <c r="J98" s="227"/>
    </row>
    <row r="99" spans="1:10">
      <c r="A99" s="227"/>
      <c r="B99" s="227"/>
      <c r="C99" s="227"/>
      <c r="D99" s="227"/>
      <c r="E99" s="227"/>
      <c r="F99" s="227"/>
      <c r="G99" s="227"/>
      <c r="H99" s="227"/>
      <c r="I99" s="227"/>
      <c r="J99" s="227"/>
    </row>
    <row r="100" spans="1:10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</row>
    <row r="101" spans="1:10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</row>
    <row r="102" spans="1:10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</row>
    <row r="103" spans="1:10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</row>
    <row r="104" spans="1:10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</row>
    <row r="105" spans="1:10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</row>
    <row r="106" spans="1:10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</row>
    <row r="107" spans="1:10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</row>
    <row r="108" spans="1:10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</row>
    <row r="109" spans="1:10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</row>
    <row r="110" spans="1:10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</row>
    <row r="111" spans="1:10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</row>
    <row r="112" spans="1:10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</row>
    <row r="113" spans="1:10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</row>
    <row r="114" spans="1:10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</row>
    <row r="115" spans="1:10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</row>
    <row r="116" spans="1:10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</row>
    <row r="117" spans="1:10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</row>
    <row r="118" spans="1:10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</row>
    <row r="119" spans="1:10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</row>
    <row r="120" spans="1:10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</row>
    <row r="121" spans="1:10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</row>
    <row r="122" spans="1:10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</row>
    <row r="123" spans="1:10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</row>
    <row r="124" spans="1:10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</row>
    <row r="125" spans="1:10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</row>
    <row r="126" spans="1:10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</row>
    <row r="127" spans="1:10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</row>
    <row r="128" spans="1:10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</row>
    <row r="129" spans="1:10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</row>
    <row r="130" spans="1:10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</row>
    <row r="131" spans="1:10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</row>
    <row r="132" spans="1:10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</row>
    <row r="133" spans="1:10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</row>
    <row r="134" spans="1:10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</row>
    <row r="135" spans="1:10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</row>
    <row r="136" spans="1:10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</row>
    <row r="137" spans="1:10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</row>
    <row r="138" spans="1:10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</row>
    <row r="139" spans="1:10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</row>
    <row r="140" spans="1:10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</row>
    <row r="141" spans="1:10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</row>
    <row r="142" spans="1:10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</row>
    <row r="143" spans="1:10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</row>
    <row r="144" spans="1:10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</row>
    <row r="145" spans="1:10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</row>
    <row r="146" spans="1:10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</row>
    <row r="147" spans="1:10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</row>
    <row r="148" spans="1:10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</row>
    <row r="149" spans="1:10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</row>
    <row r="150" spans="1:10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</row>
    <row r="151" spans="1:10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</row>
    <row r="152" spans="1:10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</row>
    <row r="153" spans="1:10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</row>
    <row r="154" spans="1:10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</row>
    <row r="155" spans="1:10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</row>
    <row r="156" spans="1:10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</row>
    <row r="157" spans="1:10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</row>
    <row r="158" spans="1:10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</row>
    <row r="159" spans="1:10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</row>
    <row r="160" spans="1:10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</row>
    <row r="161" spans="1:10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</row>
    <row r="162" spans="1:10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</row>
    <row r="163" s="224" customFormat="1" ht="13.5" spans="3:3">
      <c r="C163" s="284"/>
    </row>
    <row r="164" s="225" customFormat="1" ht="15.75" hidden="1" spans="1:15">
      <c r="A164" s="285">
        <f>J30</f>
        <v>31477.2</v>
      </c>
      <c r="B164" s="286"/>
      <c r="C164" s="287"/>
      <c r="D164" s="286"/>
      <c r="E164" s="286"/>
      <c r="F164" s="286"/>
      <c r="G164" s="288"/>
      <c r="H164" s="286"/>
      <c r="I164" s="299"/>
      <c r="J164" s="300"/>
      <c r="K164" s="301"/>
      <c r="L164" s="286"/>
      <c r="M164" s="302"/>
      <c r="N164" s="286"/>
      <c r="O164" s="286"/>
    </row>
    <row r="165" s="225" customFormat="1" ht="15.75" hidden="1" spans="1:15">
      <c r="A165" s="289"/>
      <c r="B165" s="289"/>
      <c r="C165" s="290"/>
      <c r="D165" s="289"/>
      <c r="E165" s="289"/>
      <c r="F165" s="289"/>
      <c r="G165" s="291">
        <f>INT(INT(A164)/1000000)</f>
        <v>0</v>
      </c>
      <c r="H165" s="289">
        <f>INT((RIGHT(INT(A164),6))/100000)</f>
        <v>0</v>
      </c>
      <c r="I165" s="303">
        <f>INT((RIGHT(INT(A164),5))/1000)</f>
        <v>31</v>
      </c>
      <c r="J165" s="289">
        <f>INT((RIGHT(INT(A164),3))/100)</f>
        <v>4</v>
      </c>
      <c r="K165" s="304">
        <f>INT(RIGHT(INT(A164),2))</f>
        <v>77</v>
      </c>
      <c r="L165" s="305">
        <f>ROUND((A164*100-INT(A164)*100),0)</f>
        <v>20</v>
      </c>
      <c r="M165" s="289"/>
      <c r="N165" s="289"/>
      <c r="O165" s="289"/>
    </row>
    <row r="166" s="225" customFormat="1" ht="15.75" hidden="1" spans="1:15">
      <c r="A166" s="292"/>
      <c r="B166" s="289"/>
      <c r="C166" s="290"/>
      <c r="D166" s="289"/>
      <c r="E166" s="289"/>
      <c r="F166" s="289"/>
      <c r="G166" s="291" t="str">
        <f>VLOOKUP(G165,$A165:$C293,2)</f>
        <v>ZERO</v>
      </c>
      <c r="H166" s="289" t="str">
        <f>VLOOKUP(H165,$A166:$C293,2)</f>
        <v>ZERO</v>
      </c>
      <c r="I166" s="303" t="str">
        <f>VLOOKUP(I165,$A166:$C293,2)</f>
        <v>THIRTY ONE</v>
      </c>
      <c r="J166" s="289" t="str">
        <f>VLOOKUP(J165,$A166:$C293,2)</f>
        <v>FOUR</v>
      </c>
      <c r="K166" s="304" t="str">
        <f>VLOOKUP(K165,$A166:$C293,2)</f>
        <v>SEVENTY SEVEN</v>
      </c>
      <c r="L166" s="289" t="str">
        <f>VLOOKUP(L165,$A166:$C293,2)</f>
        <v>TWENTY</v>
      </c>
      <c r="M166" s="289"/>
      <c r="N166" s="289"/>
      <c r="O166" s="289"/>
    </row>
    <row r="167" s="225" customFormat="1" ht="15.75" hidden="1" spans="1:15">
      <c r="A167" s="289"/>
      <c r="B167" s="289"/>
      <c r="C167" s="293"/>
      <c r="D167" s="294"/>
      <c r="E167" s="294"/>
      <c r="F167" s="289"/>
      <c r="G167" s="291" t="s">
        <v>60</v>
      </c>
      <c r="H167" s="289"/>
      <c r="I167" s="303"/>
      <c r="J167" s="289"/>
      <c r="K167" s="304"/>
      <c r="L167" s="289"/>
      <c r="M167" s="306"/>
      <c r="N167" s="307"/>
      <c r="O167" s="289"/>
    </row>
    <row r="168" s="225" customFormat="1" ht="15.75" hidden="1" spans="1:15">
      <c r="A168" s="289"/>
      <c r="B168" s="289"/>
      <c r="C168" s="293"/>
      <c r="D168" s="294"/>
      <c r="E168" s="294"/>
      <c r="F168" s="289"/>
      <c r="G168" s="291"/>
      <c r="H168" s="289"/>
      <c r="I168" s="303"/>
      <c r="J168" s="289"/>
      <c r="K168" s="304"/>
      <c r="L168" s="289"/>
      <c r="M168" s="306"/>
      <c r="N168" s="307"/>
      <c r="O168" s="289"/>
    </row>
    <row r="169" s="225" customFormat="1" ht="15.75" hidden="1" spans="1:15">
      <c r="A169" s="289"/>
      <c r="B169" s="289"/>
      <c r="C169" s="293"/>
      <c r="D169" s="294"/>
      <c r="E169" s="294"/>
      <c r="F169" s="289"/>
      <c r="G169" s="291" t="str">
        <f>IF(H165=0,"",H166&amp;" HUNDRED ")</f>
        <v/>
      </c>
      <c r="H169" s="289"/>
      <c r="I169" s="303"/>
      <c r="J169" s="289"/>
      <c r="K169" s="304"/>
      <c r="L169" s="289"/>
      <c r="M169" s="306"/>
      <c r="N169" s="307"/>
      <c r="O169" s="289"/>
    </row>
    <row r="170" s="225" customFormat="1" ht="15.75" hidden="1" spans="1:15">
      <c r="A170" s="289"/>
      <c r="B170" s="289"/>
      <c r="C170" s="293"/>
      <c r="D170" s="294"/>
      <c r="E170" s="294"/>
      <c r="F170" s="289"/>
      <c r="G170" s="291" t="str">
        <f>IF(I165=0," ",+" "&amp;I166&amp;" THOUSAND ")</f>
        <v> THIRTY ONE THOUSAND </v>
      </c>
      <c r="H170" s="289"/>
      <c r="I170" s="303"/>
      <c r="J170" s="289"/>
      <c r="K170" s="304"/>
      <c r="L170" s="289"/>
      <c r="M170" s="306"/>
      <c r="N170" s="307"/>
      <c r="O170" s="289"/>
    </row>
    <row r="171" s="225" customFormat="1" ht="15.75" hidden="1" spans="1:15">
      <c r="A171" s="289"/>
      <c r="B171" s="289"/>
      <c r="C171" s="293"/>
      <c r="D171" s="294"/>
      <c r="E171" s="294"/>
      <c r="F171" s="289"/>
      <c r="G171" s="291" t="str">
        <f>IF(J165=0,"",+J166&amp;" HUNDRED ")</f>
        <v>FOUR HUNDRED </v>
      </c>
      <c r="H171" s="289"/>
      <c r="I171" s="303"/>
      <c r="J171" s="289"/>
      <c r="K171" s="304"/>
      <c r="L171" s="289"/>
      <c r="M171" s="306"/>
      <c r="N171" s="307"/>
      <c r="O171" s="289"/>
    </row>
    <row r="172" s="225" customFormat="1" ht="15.75" hidden="1" spans="1:15">
      <c r="A172" s="289"/>
      <c r="B172" s="289"/>
      <c r="C172" s="293"/>
      <c r="D172" s="294"/>
      <c r="E172" s="294"/>
      <c r="F172" s="289"/>
      <c r="G172" s="291" t="str">
        <f>IF(K165=0,"",+K166&amp;" ")</f>
        <v>SEVENTY SEVEN </v>
      </c>
      <c r="H172" s="289"/>
      <c r="I172" s="303"/>
      <c r="J172" s="289"/>
      <c r="K172" s="304"/>
      <c r="L172" s="289"/>
      <c r="M172" s="306"/>
      <c r="N172" s="307"/>
      <c r="O172" s="289"/>
    </row>
    <row r="173" s="225" customFormat="1" ht="15.75" hidden="1" spans="1:15">
      <c r="A173" s="289"/>
      <c r="B173" s="289"/>
      <c r="C173" s="293"/>
      <c r="D173" s="294"/>
      <c r="E173" s="294"/>
      <c r="F173" s="289"/>
      <c r="G173" s="291" t="str">
        <f>IF(L165=0,"",+"AND CENTS "&amp;L166&amp;" ")</f>
        <v>AND CENTS TWENTY </v>
      </c>
      <c r="H173" s="289"/>
      <c r="I173" s="303"/>
      <c r="J173" s="289"/>
      <c r="K173" s="304"/>
      <c r="L173" s="289"/>
      <c r="M173" s="306"/>
      <c r="N173" s="307"/>
      <c r="O173" s="289"/>
    </row>
    <row r="174" s="225" customFormat="1" ht="15.75" hidden="1" spans="1:15">
      <c r="A174" s="289"/>
      <c r="B174" s="289"/>
      <c r="C174" s="293"/>
      <c r="D174" s="294"/>
      <c r="E174" s="294"/>
      <c r="F174" s="289"/>
      <c r="G174" s="291"/>
      <c r="H174" s="289"/>
      <c r="I174" s="303"/>
      <c r="J174" s="289"/>
      <c r="K174" s="304"/>
      <c r="L174" s="289"/>
      <c r="M174" s="306"/>
      <c r="N174" s="307"/>
      <c r="O174" s="289"/>
    </row>
    <row r="175" s="225" customFormat="1" ht="15.75" hidden="1" spans="1:15">
      <c r="A175" s="289"/>
      <c r="B175" s="289"/>
      <c r="C175" s="293"/>
      <c r="D175" s="289"/>
      <c r="E175" s="289"/>
      <c r="F175" s="289"/>
      <c r="G175" s="295" t="str">
        <f>G167&amp;G169&amp;G170&amp;G171&amp;G172&amp;G173&amp;G174</f>
        <v>SAY TOTAL  THIRTY ONE THOUSAND FOUR HUNDRED SEVENTY SEVEN AND CENTS TWENTY </v>
      </c>
      <c r="H175" s="295"/>
      <c r="I175" s="295"/>
      <c r="J175" s="295"/>
      <c r="K175" s="295"/>
      <c r="L175" s="295"/>
      <c r="M175" s="295"/>
      <c r="N175" s="295"/>
      <c r="O175" s="295"/>
    </row>
    <row r="176" s="225" customFormat="1" ht="15.75" hidden="1" spans="1:15">
      <c r="A176" s="289">
        <v>0</v>
      </c>
      <c r="B176" s="296" t="s">
        <v>61</v>
      </c>
      <c r="C176" s="293"/>
      <c r="D176" s="289"/>
      <c r="E176" s="289"/>
      <c r="F176" s="289"/>
      <c r="G176" s="295"/>
      <c r="H176" s="295"/>
      <c r="I176" s="295"/>
      <c r="J176" s="295"/>
      <c r="K176" s="295"/>
      <c r="L176" s="295"/>
      <c r="M176" s="295"/>
      <c r="N176" s="295"/>
      <c r="O176" s="295"/>
    </row>
    <row r="177" s="225" customFormat="1" ht="15.75" hidden="1" spans="1:9">
      <c r="A177" s="289">
        <v>1</v>
      </c>
      <c r="B177" s="297" t="s">
        <v>62</v>
      </c>
      <c r="C177" s="293"/>
      <c r="G177" s="298"/>
      <c r="I177" s="308"/>
    </row>
    <row r="178" s="225" customFormat="1" ht="15.75" hidden="1" spans="1:9">
      <c r="A178" s="289">
        <v>2</v>
      </c>
      <c r="B178" s="297" t="s">
        <v>63</v>
      </c>
      <c r="C178" s="293"/>
      <c r="G178" s="298"/>
      <c r="I178" s="308"/>
    </row>
    <row r="179" s="225" customFormat="1" ht="15.75" hidden="1" spans="1:9">
      <c r="A179" s="289">
        <v>3</v>
      </c>
      <c r="B179" s="297" t="s">
        <v>64</v>
      </c>
      <c r="C179" s="290"/>
      <c r="G179" s="298"/>
      <c r="I179" s="308"/>
    </row>
    <row r="180" s="225" customFormat="1" ht="15.75" hidden="1" spans="1:9">
      <c r="A180" s="289">
        <v>4</v>
      </c>
      <c r="B180" s="297" t="s">
        <v>65</v>
      </c>
      <c r="C180" s="290"/>
      <c r="G180" s="298"/>
      <c r="I180" s="308"/>
    </row>
    <row r="181" s="225" customFormat="1" ht="15.75" hidden="1" spans="1:9">
      <c r="A181" s="289">
        <v>5</v>
      </c>
      <c r="B181" s="297" t="s">
        <v>66</v>
      </c>
      <c r="C181" s="290"/>
      <c r="G181" s="298"/>
      <c r="I181" s="308"/>
    </row>
    <row r="182" s="225" customFormat="1" ht="15.75" hidden="1" spans="1:9">
      <c r="A182" s="289">
        <v>6</v>
      </c>
      <c r="B182" s="297" t="s">
        <v>67</v>
      </c>
      <c r="C182" s="290"/>
      <c r="G182" s="298"/>
      <c r="I182" s="308"/>
    </row>
    <row r="183" s="225" customFormat="1" ht="15.75" hidden="1" spans="1:9">
      <c r="A183" s="289">
        <v>7</v>
      </c>
      <c r="B183" s="296" t="s">
        <v>68</v>
      </c>
      <c r="C183" s="290"/>
      <c r="G183" s="298"/>
      <c r="I183" s="308"/>
    </row>
    <row r="184" s="225" customFormat="1" ht="15.75" hidden="1" spans="1:9">
      <c r="A184" s="289">
        <v>8</v>
      </c>
      <c r="B184" s="296" t="s">
        <v>69</v>
      </c>
      <c r="C184" s="290"/>
      <c r="G184" s="298"/>
      <c r="I184" s="308"/>
    </row>
    <row r="185" s="225" customFormat="1" ht="15.75" hidden="1" spans="1:9">
      <c r="A185" s="289">
        <v>9</v>
      </c>
      <c r="B185" s="296" t="s">
        <v>70</v>
      </c>
      <c r="C185" s="290"/>
      <c r="G185" s="298"/>
      <c r="I185" s="308"/>
    </row>
    <row r="186" s="225" customFormat="1" ht="15.75" hidden="1" spans="1:9">
      <c r="A186" s="289">
        <v>10</v>
      </c>
      <c r="B186" s="296" t="s">
        <v>71</v>
      </c>
      <c r="C186" s="290"/>
      <c r="G186" s="298"/>
      <c r="I186" s="308"/>
    </row>
    <row r="187" s="225" customFormat="1" ht="15.75" hidden="1" spans="1:9">
      <c r="A187" s="289">
        <v>11</v>
      </c>
      <c r="B187" s="296" t="s">
        <v>72</v>
      </c>
      <c r="C187" s="290"/>
      <c r="G187" s="298"/>
      <c r="I187" s="308"/>
    </row>
    <row r="188" s="225" customFormat="1" ht="15.75" hidden="1" spans="1:9">
      <c r="A188" s="289">
        <v>12</v>
      </c>
      <c r="B188" s="296" t="s">
        <v>73</v>
      </c>
      <c r="C188" s="290"/>
      <c r="G188" s="298"/>
      <c r="I188" s="308"/>
    </row>
    <row r="189" s="225" customFormat="1" ht="15.75" hidden="1" spans="1:9">
      <c r="A189" s="289">
        <v>13</v>
      </c>
      <c r="B189" s="296" t="s">
        <v>74</v>
      </c>
      <c r="C189" s="290"/>
      <c r="G189" s="298"/>
      <c r="I189" s="308"/>
    </row>
    <row r="190" s="225" customFormat="1" ht="15.75" hidden="1" spans="1:9">
      <c r="A190" s="289">
        <v>14</v>
      </c>
      <c r="B190" s="296" t="s">
        <v>75</v>
      </c>
      <c r="C190" s="290"/>
      <c r="G190" s="298"/>
      <c r="I190" s="308"/>
    </row>
    <row r="191" s="225" customFormat="1" ht="15.75" hidden="1" spans="1:9">
      <c r="A191" s="289">
        <v>15</v>
      </c>
      <c r="B191" s="296" t="s">
        <v>76</v>
      </c>
      <c r="C191" s="290"/>
      <c r="G191" s="298"/>
      <c r="I191" s="308"/>
    </row>
    <row r="192" s="225" customFormat="1" ht="15.75" hidden="1" spans="1:9">
      <c r="A192" s="289">
        <v>16</v>
      </c>
      <c r="B192" s="296" t="s">
        <v>77</v>
      </c>
      <c r="C192" s="290"/>
      <c r="G192" s="298"/>
      <c r="I192" s="308"/>
    </row>
    <row r="193" s="225" customFormat="1" ht="15.75" hidden="1" spans="1:9">
      <c r="A193" s="289">
        <v>17</v>
      </c>
      <c r="B193" s="296" t="s">
        <v>78</v>
      </c>
      <c r="C193" s="290"/>
      <c r="G193" s="298"/>
      <c r="I193" s="308"/>
    </row>
    <row r="194" s="225" customFormat="1" ht="15.75" hidden="1" spans="1:9">
      <c r="A194" s="289">
        <v>18</v>
      </c>
      <c r="B194" s="296" t="s">
        <v>79</v>
      </c>
      <c r="C194" s="290"/>
      <c r="G194" s="298"/>
      <c r="I194" s="308"/>
    </row>
    <row r="195" s="225" customFormat="1" ht="15.75" hidden="1" spans="1:9">
      <c r="A195" s="289">
        <v>19</v>
      </c>
      <c r="B195" s="296" t="s">
        <v>80</v>
      </c>
      <c r="C195" s="290"/>
      <c r="G195" s="298"/>
      <c r="I195" s="308"/>
    </row>
    <row r="196" s="225" customFormat="1" ht="15.75" hidden="1" spans="1:9">
      <c r="A196" s="289">
        <v>20</v>
      </c>
      <c r="B196" s="296" t="s">
        <v>81</v>
      </c>
      <c r="C196" s="290"/>
      <c r="G196" s="298"/>
      <c r="I196" s="308"/>
    </row>
    <row r="197" s="225" customFormat="1" ht="15.75" hidden="1" spans="1:9">
      <c r="A197" s="289">
        <v>21</v>
      </c>
      <c r="B197" s="296" t="s">
        <v>82</v>
      </c>
      <c r="C197" s="290"/>
      <c r="G197" s="298"/>
      <c r="I197" s="308"/>
    </row>
    <row r="198" s="225" customFormat="1" ht="15.75" hidden="1" spans="1:9">
      <c r="A198" s="289">
        <v>22</v>
      </c>
      <c r="B198" s="296" t="s">
        <v>83</v>
      </c>
      <c r="C198" s="290"/>
      <c r="G198" s="298"/>
      <c r="I198" s="308"/>
    </row>
    <row r="199" s="225" customFormat="1" ht="15.75" hidden="1" spans="1:9">
      <c r="A199" s="289">
        <v>23</v>
      </c>
      <c r="B199" s="296" t="s">
        <v>84</v>
      </c>
      <c r="C199" s="290"/>
      <c r="G199" s="298"/>
      <c r="I199" s="308"/>
    </row>
    <row r="200" s="225" customFormat="1" ht="15.75" hidden="1" spans="1:9">
      <c r="A200" s="289">
        <v>24</v>
      </c>
      <c r="B200" s="296" t="s">
        <v>85</v>
      </c>
      <c r="C200" s="290"/>
      <c r="G200" s="298"/>
      <c r="I200" s="308"/>
    </row>
    <row r="201" s="225" customFormat="1" ht="15.75" hidden="1" spans="1:9">
      <c r="A201" s="309">
        <v>25</v>
      </c>
      <c r="B201" s="310" t="s">
        <v>86</v>
      </c>
      <c r="C201" s="290"/>
      <c r="G201" s="298"/>
      <c r="I201" s="308"/>
    </row>
    <row r="202" s="225" customFormat="1" ht="15.75" hidden="1" spans="1:9">
      <c r="A202" s="309">
        <v>26</v>
      </c>
      <c r="B202" s="310" t="s">
        <v>87</v>
      </c>
      <c r="C202" s="290"/>
      <c r="G202" s="298"/>
      <c r="I202" s="308"/>
    </row>
    <row r="203" s="225" customFormat="1" ht="15.75" hidden="1" spans="1:9">
      <c r="A203" s="309">
        <v>27</v>
      </c>
      <c r="B203" s="310" t="s">
        <v>88</v>
      </c>
      <c r="C203" s="290"/>
      <c r="G203" s="298"/>
      <c r="I203" s="308"/>
    </row>
    <row r="204" s="225" customFormat="1" ht="15.75" hidden="1" spans="1:9">
      <c r="A204" s="309">
        <v>28</v>
      </c>
      <c r="B204" s="310" t="s">
        <v>89</v>
      </c>
      <c r="C204" s="290"/>
      <c r="G204" s="298"/>
      <c r="I204" s="308"/>
    </row>
    <row r="205" s="225" customFormat="1" ht="15.75" hidden="1" spans="1:9">
      <c r="A205" s="309">
        <v>29</v>
      </c>
      <c r="B205" s="310" t="s">
        <v>90</v>
      </c>
      <c r="C205" s="290"/>
      <c r="G205" s="298"/>
      <c r="I205" s="308"/>
    </row>
    <row r="206" s="225" customFormat="1" ht="15.75" hidden="1" spans="1:9">
      <c r="A206" s="309">
        <v>30</v>
      </c>
      <c r="B206" s="310" t="s">
        <v>91</v>
      </c>
      <c r="C206" s="290"/>
      <c r="G206" s="298"/>
      <c r="I206" s="308"/>
    </row>
    <row r="207" s="225" customFormat="1" ht="15.75" hidden="1" spans="1:9">
      <c r="A207" s="309">
        <v>31</v>
      </c>
      <c r="B207" s="310" t="s">
        <v>92</v>
      </c>
      <c r="C207" s="290"/>
      <c r="G207" s="298"/>
      <c r="I207" s="308"/>
    </row>
    <row r="208" s="225" customFormat="1" ht="15.75" hidden="1" spans="1:9">
      <c r="A208" s="309">
        <v>32</v>
      </c>
      <c r="B208" s="310" t="s">
        <v>93</v>
      </c>
      <c r="C208" s="290"/>
      <c r="G208" s="298"/>
      <c r="I208" s="308"/>
    </row>
    <row r="209" s="225" customFormat="1" ht="15.75" hidden="1" spans="1:9">
      <c r="A209" s="309">
        <v>33</v>
      </c>
      <c r="B209" s="310" t="s">
        <v>94</v>
      </c>
      <c r="C209" s="290"/>
      <c r="G209" s="298"/>
      <c r="I209" s="308"/>
    </row>
    <row r="210" s="225" customFormat="1" ht="15.75" hidden="1" spans="1:9">
      <c r="A210" s="309">
        <v>34</v>
      </c>
      <c r="B210" s="310" t="s">
        <v>95</v>
      </c>
      <c r="C210" s="290"/>
      <c r="G210" s="298"/>
      <c r="I210" s="308"/>
    </row>
    <row r="211" s="225" customFormat="1" ht="15.75" hidden="1" spans="1:9">
      <c r="A211" s="309">
        <v>35</v>
      </c>
      <c r="B211" s="310" t="s">
        <v>96</v>
      </c>
      <c r="C211" s="290"/>
      <c r="G211" s="298"/>
      <c r="I211" s="308"/>
    </row>
    <row r="212" s="225" customFormat="1" ht="15.75" hidden="1" spans="1:9">
      <c r="A212" s="309">
        <v>36</v>
      </c>
      <c r="B212" s="310" t="s">
        <v>97</v>
      </c>
      <c r="C212" s="290"/>
      <c r="G212" s="298"/>
      <c r="I212" s="308"/>
    </row>
    <row r="213" s="225" customFormat="1" ht="15.75" hidden="1" spans="1:9">
      <c r="A213" s="309">
        <v>37</v>
      </c>
      <c r="B213" s="310" t="s">
        <v>98</v>
      </c>
      <c r="C213" s="290"/>
      <c r="G213" s="298"/>
      <c r="I213" s="308"/>
    </row>
    <row r="214" s="225" customFormat="1" ht="15.75" hidden="1" spans="1:9">
      <c r="A214" s="309">
        <v>38</v>
      </c>
      <c r="B214" s="310" t="s">
        <v>99</v>
      </c>
      <c r="C214" s="290"/>
      <c r="G214" s="298"/>
      <c r="I214" s="308"/>
    </row>
    <row r="215" s="225" customFormat="1" ht="15.75" hidden="1" spans="1:9">
      <c r="A215" s="309">
        <v>39</v>
      </c>
      <c r="B215" s="310" t="s">
        <v>100</v>
      </c>
      <c r="C215" s="290"/>
      <c r="G215" s="298"/>
      <c r="I215" s="308"/>
    </row>
    <row r="216" s="225" customFormat="1" ht="15.75" hidden="1" spans="1:9">
      <c r="A216" s="309">
        <v>40</v>
      </c>
      <c r="B216" s="310" t="s">
        <v>101</v>
      </c>
      <c r="C216" s="290"/>
      <c r="G216" s="298"/>
      <c r="I216" s="308"/>
    </row>
    <row r="217" s="225" customFormat="1" ht="15.75" hidden="1" spans="1:9">
      <c r="A217" s="309">
        <v>41</v>
      </c>
      <c r="B217" s="310" t="s">
        <v>102</v>
      </c>
      <c r="C217" s="290"/>
      <c r="G217" s="298"/>
      <c r="I217" s="308"/>
    </row>
    <row r="218" s="225" customFormat="1" ht="15.75" hidden="1" spans="1:9">
      <c r="A218" s="309">
        <v>42</v>
      </c>
      <c r="B218" s="310" t="s">
        <v>103</v>
      </c>
      <c r="C218" s="290"/>
      <c r="G218" s="298"/>
      <c r="I218" s="308"/>
    </row>
    <row r="219" s="225" customFormat="1" ht="15.75" hidden="1" spans="1:9">
      <c r="A219" s="309">
        <v>43</v>
      </c>
      <c r="B219" s="310" t="s">
        <v>104</v>
      </c>
      <c r="C219" s="290"/>
      <c r="G219" s="298"/>
      <c r="I219" s="308"/>
    </row>
    <row r="220" s="225" customFormat="1" ht="15.75" hidden="1" spans="1:9">
      <c r="A220" s="309">
        <v>44</v>
      </c>
      <c r="B220" s="310" t="s">
        <v>105</v>
      </c>
      <c r="C220" s="290"/>
      <c r="G220" s="298"/>
      <c r="I220" s="308"/>
    </row>
    <row r="221" s="225" customFormat="1" ht="15.75" hidden="1" spans="1:9">
      <c r="A221" s="309">
        <v>45</v>
      </c>
      <c r="B221" s="310" t="s">
        <v>106</v>
      </c>
      <c r="C221" s="290"/>
      <c r="G221" s="298"/>
      <c r="I221" s="308"/>
    </row>
    <row r="222" s="225" customFormat="1" ht="15.75" hidden="1" spans="1:9">
      <c r="A222" s="309">
        <v>46</v>
      </c>
      <c r="B222" s="310" t="s">
        <v>107</v>
      </c>
      <c r="C222" s="290"/>
      <c r="G222" s="298"/>
      <c r="I222" s="308"/>
    </row>
    <row r="223" s="225" customFormat="1" ht="15.75" hidden="1" spans="1:9">
      <c r="A223" s="309">
        <v>47</v>
      </c>
      <c r="B223" s="310" t="s">
        <v>108</v>
      </c>
      <c r="C223" s="290"/>
      <c r="G223" s="298"/>
      <c r="I223" s="308"/>
    </row>
    <row r="224" s="225" customFormat="1" ht="15.75" hidden="1" spans="1:9">
      <c r="A224" s="309">
        <v>48</v>
      </c>
      <c r="B224" s="310" t="s">
        <v>109</v>
      </c>
      <c r="C224" s="290"/>
      <c r="G224" s="298"/>
      <c r="I224" s="308"/>
    </row>
    <row r="225" s="225" customFormat="1" ht="15.75" hidden="1" spans="1:9">
      <c r="A225" s="309">
        <v>49</v>
      </c>
      <c r="B225" s="310" t="s">
        <v>110</v>
      </c>
      <c r="C225" s="290"/>
      <c r="G225" s="298"/>
      <c r="I225" s="308"/>
    </row>
    <row r="226" s="225" customFormat="1" ht="15.75" hidden="1" spans="1:9">
      <c r="A226" s="309">
        <v>50</v>
      </c>
      <c r="B226" s="310" t="s">
        <v>111</v>
      </c>
      <c r="C226" s="290"/>
      <c r="G226" s="298"/>
      <c r="I226" s="308"/>
    </row>
    <row r="227" s="225" customFormat="1" ht="15.75" hidden="1" spans="1:9">
      <c r="A227" s="309">
        <v>51</v>
      </c>
      <c r="B227" s="310" t="s">
        <v>112</v>
      </c>
      <c r="C227" s="290"/>
      <c r="G227" s="298"/>
      <c r="I227" s="308"/>
    </row>
    <row r="228" s="225" customFormat="1" ht="15.75" hidden="1" spans="1:9">
      <c r="A228" s="309">
        <v>52</v>
      </c>
      <c r="B228" s="310" t="s">
        <v>113</v>
      </c>
      <c r="C228" s="290"/>
      <c r="G228" s="298"/>
      <c r="I228" s="308"/>
    </row>
    <row r="229" s="225" customFormat="1" ht="15.75" hidden="1" spans="1:9">
      <c r="A229" s="309">
        <v>53</v>
      </c>
      <c r="B229" s="310" t="s">
        <v>114</v>
      </c>
      <c r="C229" s="290"/>
      <c r="G229" s="298"/>
      <c r="I229" s="308"/>
    </row>
    <row r="230" s="225" customFormat="1" ht="15.75" hidden="1" spans="1:9">
      <c r="A230" s="309">
        <v>54</v>
      </c>
      <c r="B230" s="310" t="s">
        <v>115</v>
      </c>
      <c r="C230" s="290"/>
      <c r="G230" s="298"/>
      <c r="I230" s="308"/>
    </row>
    <row r="231" s="225" customFormat="1" ht="15.75" hidden="1" spans="1:9">
      <c r="A231" s="309">
        <v>55</v>
      </c>
      <c r="B231" s="310" t="s">
        <v>116</v>
      </c>
      <c r="C231" s="290"/>
      <c r="G231" s="298"/>
      <c r="I231" s="308"/>
    </row>
    <row r="232" s="225" customFormat="1" ht="15.75" hidden="1" spans="1:9">
      <c r="A232" s="309">
        <v>56</v>
      </c>
      <c r="B232" s="310" t="s">
        <v>117</v>
      </c>
      <c r="C232" s="290"/>
      <c r="G232" s="298"/>
      <c r="I232" s="308"/>
    </row>
    <row r="233" s="225" customFormat="1" ht="15.75" hidden="1" spans="1:9">
      <c r="A233" s="309">
        <v>57</v>
      </c>
      <c r="B233" s="310" t="s">
        <v>118</v>
      </c>
      <c r="C233" s="290"/>
      <c r="G233" s="298"/>
      <c r="I233" s="308"/>
    </row>
    <row r="234" s="225" customFormat="1" ht="15.75" hidden="1" spans="1:9">
      <c r="A234" s="309">
        <v>58</v>
      </c>
      <c r="B234" s="310" t="s">
        <v>119</v>
      </c>
      <c r="C234" s="290"/>
      <c r="G234" s="298"/>
      <c r="I234" s="308"/>
    </row>
    <row r="235" s="225" customFormat="1" ht="15.75" hidden="1" spans="1:9">
      <c r="A235" s="309">
        <v>59</v>
      </c>
      <c r="B235" s="310" t="s">
        <v>120</v>
      </c>
      <c r="C235" s="290"/>
      <c r="G235" s="298"/>
      <c r="I235" s="308"/>
    </row>
    <row r="236" s="225" customFormat="1" ht="15.75" hidden="1" spans="1:9">
      <c r="A236" s="309">
        <v>60</v>
      </c>
      <c r="B236" s="310" t="s">
        <v>121</v>
      </c>
      <c r="C236" s="290"/>
      <c r="G236" s="298"/>
      <c r="I236" s="308"/>
    </row>
    <row r="237" s="225" customFormat="1" ht="15.75" hidden="1" spans="1:9">
      <c r="A237" s="309">
        <v>61</v>
      </c>
      <c r="B237" s="310" t="s">
        <v>122</v>
      </c>
      <c r="C237" s="290"/>
      <c r="G237" s="298"/>
      <c r="I237" s="308"/>
    </row>
    <row r="238" s="225" customFormat="1" ht="15.75" hidden="1" spans="1:9">
      <c r="A238" s="309">
        <v>62</v>
      </c>
      <c r="B238" s="310" t="s">
        <v>123</v>
      </c>
      <c r="C238" s="290"/>
      <c r="G238" s="298"/>
      <c r="I238" s="308"/>
    </row>
    <row r="239" s="225" customFormat="1" ht="15.75" hidden="1" spans="1:9">
      <c r="A239" s="309">
        <v>63</v>
      </c>
      <c r="B239" s="310" t="s">
        <v>124</v>
      </c>
      <c r="C239" s="290"/>
      <c r="G239" s="298"/>
      <c r="I239" s="308"/>
    </row>
    <row r="240" s="225" customFormat="1" ht="15.75" hidden="1" spans="1:9">
      <c r="A240" s="309">
        <v>64</v>
      </c>
      <c r="B240" s="310" t="s">
        <v>125</v>
      </c>
      <c r="C240" s="290"/>
      <c r="G240" s="298"/>
      <c r="I240" s="308"/>
    </row>
    <row r="241" s="225" customFormat="1" ht="15.75" hidden="1" spans="1:9">
      <c r="A241" s="309">
        <v>65</v>
      </c>
      <c r="B241" s="310" t="s">
        <v>126</v>
      </c>
      <c r="C241" s="290"/>
      <c r="G241" s="298"/>
      <c r="I241" s="308"/>
    </row>
    <row r="242" s="225" customFormat="1" ht="15.75" hidden="1" spans="1:9">
      <c r="A242" s="309">
        <v>66</v>
      </c>
      <c r="B242" s="310" t="s">
        <v>127</v>
      </c>
      <c r="C242" s="290"/>
      <c r="G242" s="298"/>
      <c r="I242" s="308"/>
    </row>
    <row r="243" s="225" customFormat="1" ht="15.75" hidden="1" spans="1:9">
      <c r="A243" s="309">
        <v>67</v>
      </c>
      <c r="B243" s="310" t="s">
        <v>128</v>
      </c>
      <c r="C243" s="290"/>
      <c r="G243" s="298"/>
      <c r="I243" s="308"/>
    </row>
    <row r="244" s="225" customFormat="1" ht="15.75" hidden="1" spans="1:9">
      <c r="A244" s="309">
        <v>68</v>
      </c>
      <c r="B244" s="310" t="s">
        <v>129</v>
      </c>
      <c r="C244" s="290"/>
      <c r="G244" s="298"/>
      <c r="I244" s="308"/>
    </row>
    <row r="245" s="225" customFormat="1" ht="15.75" hidden="1" spans="1:9">
      <c r="A245" s="309">
        <v>69</v>
      </c>
      <c r="B245" s="310" t="s">
        <v>130</v>
      </c>
      <c r="C245" s="290"/>
      <c r="G245" s="298"/>
      <c r="I245" s="308"/>
    </row>
    <row r="246" s="225" customFormat="1" ht="15.75" hidden="1" spans="1:9">
      <c r="A246" s="309">
        <v>70</v>
      </c>
      <c r="B246" s="310" t="s">
        <v>131</v>
      </c>
      <c r="C246" s="290"/>
      <c r="G246" s="298"/>
      <c r="I246" s="308"/>
    </row>
    <row r="247" s="225" customFormat="1" ht="15.75" hidden="1" spans="1:9">
      <c r="A247" s="309">
        <v>71</v>
      </c>
      <c r="B247" s="310" t="s">
        <v>132</v>
      </c>
      <c r="C247" s="290"/>
      <c r="G247" s="298"/>
      <c r="I247" s="308"/>
    </row>
    <row r="248" s="225" customFormat="1" ht="15.75" hidden="1" spans="1:9">
      <c r="A248" s="309">
        <v>72</v>
      </c>
      <c r="B248" s="310" t="s">
        <v>133</v>
      </c>
      <c r="C248" s="290"/>
      <c r="G248" s="298"/>
      <c r="I248" s="308"/>
    </row>
    <row r="249" s="225" customFormat="1" ht="15.75" hidden="1" spans="1:9">
      <c r="A249" s="309">
        <v>73</v>
      </c>
      <c r="B249" s="310" t="s">
        <v>134</v>
      </c>
      <c r="C249" s="290"/>
      <c r="G249" s="298"/>
      <c r="I249" s="308"/>
    </row>
    <row r="250" s="225" customFormat="1" ht="15.75" hidden="1" spans="1:9">
      <c r="A250" s="309">
        <v>74</v>
      </c>
      <c r="B250" s="310" t="s">
        <v>135</v>
      </c>
      <c r="C250" s="290"/>
      <c r="G250" s="298"/>
      <c r="I250" s="308"/>
    </row>
    <row r="251" s="225" customFormat="1" ht="15.75" hidden="1" spans="1:9">
      <c r="A251" s="309">
        <v>75</v>
      </c>
      <c r="B251" s="310" t="s">
        <v>136</v>
      </c>
      <c r="C251" s="290"/>
      <c r="G251" s="298"/>
      <c r="I251" s="308"/>
    </row>
    <row r="252" s="225" customFormat="1" ht="15.75" hidden="1" spans="1:9">
      <c r="A252" s="309">
        <v>76</v>
      </c>
      <c r="B252" s="310" t="s">
        <v>137</v>
      </c>
      <c r="C252" s="290"/>
      <c r="G252" s="298"/>
      <c r="I252" s="308"/>
    </row>
    <row r="253" s="225" customFormat="1" ht="15.75" hidden="1" spans="1:9">
      <c r="A253" s="309">
        <v>77</v>
      </c>
      <c r="B253" s="310" t="s">
        <v>138</v>
      </c>
      <c r="C253" s="290"/>
      <c r="G253" s="298"/>
      <c r="I253" s="308"/>
    </row>
    <row r="254" s="225" customFormat="1" ht="15.75" hidden="1" spans="1:9">
      <c r="A254" s="309">
        <v>78</v>
      </c>
      <c r="B254" s="310" t="s">
        <v>139</v>
      </c>
      <c r="C254" s="290"/>
      <c r="G254" s="298"/>
      <c r="I254" s="308"/>
    </row>
    <row r="255" s="225" customFormat="1" ht="15.75" hidden="1" spans="1:9">
      <c r="A255" s="309">
        <v>79</v>
      </c>
      <c r="B255" s="310" t="s">
        <v>140</v>
      </c>
      <c r="C255" s="290"/>
      <c r="G255" s="298"/>
      <c r="I255" s="308"/>
    </row>
    <row r="256" s="225" customFormat="1" ht="15.75" hidden="1" spans="1:9">
      <c r="A256" s="309">
        <v>80</v>
      </c>
      <c r="B256" s="310" t="s">
        <v>141</v>
      </c>
      <c r="C256" s="290"/>
      <c r="G256" s="298"/>
      <c r="I256" s="308"/>
    </row>
    <row r="257" s="225" customFormat="1" ht="15.75" hidden="1" spans="1:9">
      <c r="A257" s="309">
        <v>81</v>
      </c>
      <c r="B257" s="310" t="s">
        <v>142</v>
      </c>
      <c r="C257" s="290"/>
      <c r="G257" s="298"/>
      <c r="I257" s="308"/>
    </row>
    <row r="258" s="225" customFormat="1" ht="15.75" hidden="1" spans="1:9">
      <c r="A258" s="309">
        <v>82</v>
      </c>
      <c r="B258" s="310" t="s">
        <v>143</v>
      </c>
      <c r="C258" s="290"/>
      <c r="G258" s="298"/>
      <c r="I258" s="308"/>
    </row>
    <row r="259" s="225" customFormat="1" ht="15.75" hidden="1" spans="1:9">
      <c r="A259" s="309">
        <v>83</v>
      </c>
      <c r="B259" s="310" t="s">
        <v>144</v>
      </c>
      <c r="C259" s="290"/>
      <c r="G259" s="298"/>
      <c r="I259" s="308"/>
    </row>
    <row r="260" s="225" customFormat="1" ht="15.75" hidden="1" spans="1:9">
      <c r="A260" s="309">
        <v>84</v>
      </c>
      <c r="B260" s="310" t="s">
        <v>145</v>
      </c>
      <c r="C260" s="290"/>
      <c r="G260" s="298"/>
      <c r="I260" s="308"/>
    </row>
    <row r="261" s="225" customFormat="1" ht="15.75" hidden="1" spans="1:9">
      <c r="A261" s="309">
        <v>85</v>
      </c>
      <c r="B261" s="310" t="s">
        <v>146</v>
      </c>
      <c r="C261" s="290"/>
      <c r="G261" s="298"/>
      <c r="I261" s="308"/>
    </row>
    <row r="262" s="225" customFormat="1" ht="15.75" hidden="1" spans="1:9">
      <c r="A262" s="309">
        <v>86</v>
      </c>
      <c r="B262" s="310" t="s">
        <v>147</v>
      </c>
      <c r="C262" s="290"/>
      <c r="G262" s="298"/>
      <c r="I262" s="308"/>
    </row>
    <row r="263" s="225" customFormat="1" ht="15.75" hidden="1" spans="1:9">
      <c r="A263" s="309">
        <v>87</v>
      </c>
      <c r="B263" s="310" t="s">
        <v>148</v>
      </c>
      <c r="C263" s="290"/>
      <c r="G263" s="298"/>
      <c r="I263" s="308"/>
    </row>
    <row r="264" s="225" customFormat="1" ht="15.75" hidden="1" spans="1:9">
      <c r="A264" s="309">
        <v>88</v>
      </c>
      <c r="B264" s="310" t="s">
        <v>149</v>
      </c>
      <c r="C264" s="290"/>
      <c r="G264" s="298"/>
      <c r="I264" s="308"/>
    </row>
    <row r="265" s="225" customFormat="1" ht="15.75" hidden="1" spans="1:9">
      <c r="A265" s="309">
        <v>89</v>
      </c>
      <c r="B265" s="310" t="s">
        <v>150</v>
      </c>
      <c r="C265" s="290"/>
      <c r="G265" s="298"/>
      <c r="I265" s="308"/>
    </row>
    <row r="266" s="225" customFormat="1" ht="15.75" hidden="1" spans="1:9">
      <c r="A266" s="309">
        <v>90</v>
      </c>
      <c r="B266" s="310" t="s">
        <v>151</v>
      </c>
      <c r="C266" s="290"/>
      <c r="G266" s="298"/>
      <c r="I266" s="308"/>
    </row>
    <row r="267" s="225" customFormat="1" ht="15.75" hidden="1" spans="1:9">
      <c r="A267" s="309">
        <v>91</v>
      </c>
      <c r="B267" s="310" t="s">
        <v>152</v>
      </c>
      <c r="C267" s="290"/>
      <c r="G267" s="298"/>
      <c r="I267" s="308"/>
    </row>
    <row r="268" s="225" customFormat="1" ht="15.75" hidden="1" spans="1:9">
      <c r="A268" s="309">
        <v>92</v>
      </c>
      <c r="B268" s="310" t="s">
        <v>153</v>
      </c>
      <c r="C268" s="290"/>
      <c r="G268" s="298"/>
      <c r="I268" s="308"/>
    </row>
    <row r="269" s="225" customFormat="1" ht="15.75" hidden="1" spans="1:9">
      <c r="A269" s="309">
        <v>93</v>
      </c>
      <c r="B269" s="310" t="s">
        <v>154</v>
      </c>
      <c r="C269" s="290"/>
      <c r="G269" s="298"/>
      <c r="I269" s="308"/>
    </row>
    <row r="270" s="225" customFormat="1" ht="15.75" hidden="1" spans="1:9">
      <c r="A270" s="309">
        <v>94</v>
      </c>
      <c r="B270" s="310" t="s">
        <v>155</v>
      </c>
      <c r="C270" s="290"/>
      <c r="G270" s="298"/>
      <c r="I270" s="308"/>
    </row>
    <row r="271" s="225" customFormat="1" ht="15.75" hidden="1" spans="1:9">
      <c r="A271" s="309">
        <v>95</v>
      </c>
      <c r="B271" s="310" t="s">
        <v>156</v>
      </c>
      <c r="C271" s="290"/>
      <c r="G271" s="298"/>
      <c r="I271" s="308"/>
    </row>
    <row r="272" s="225" customFormat="1" ht="15.75" hidden="1" spans="1:9">
      <c r="A272" s="309">
        <v>96</v>
      </c>
      <c r="B272" s="310" t="s">
        <v>157</v>
      </c>
      <c r="C272" s="290"/>
      <c r="G272" s="298"/>
      <c r="I272" s="308"/>
    </row>
    <row r="273" s="225" customFormat="1" ht="15.75" hidden="1" spans="1:9">
      <c r="A273" s="309">
        <v>97</v>
      </c>
      <c r="B273" s="310" t="s">
        <v>158</v>
      </c>
      <c r="C273" s="290"/>
      <c r="G273" s="298"/>
      <c r="I273" s="308"/>
    </row>
    <row r="274" s="225" customFormat="1" ht="15.75" hidden="1" spans="1:9">
      <c r="A274" s="309">
        <v>98</v>
      </c>
      <c r="B274" s="310" t="s">
        <v>159</v>
      </c>
      <c r="C274" s="290"/>
      <c r="G274" s="298"/>
      <c r="I274" s="308"/>
    </row>
    <row r="275" s="225" customFormat="1" ht="15.75" hidden="1" spans="1:9">
      <c r="A275" s="309">
        <v>99</v>
      </c>
      <c r="B275" s="310" t="s">
        <v>160</v>
      </c>
      <c r="C275" s="290"/>
      <c r="G275" s="298"/>
      <c r="I275" s="308"/>
    </row>
    <row r="276" s="225" customFormat="1" ht="15.75" spans="1:9">
      <c r="A276" s="309"/>
      <c r="B276" s="310"/>
      <c r="C276" s="290"/>
      <c r="G276" s="298"/>
      <c r="I276" s="308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X43"/>
  <sheetViews>
    <sheetView tabSelected="1" view="pageBreakPreview" zoomScaleNormal="120" zoomScaleSheetLayoutView="100" topLeftCell="H1" workbookViewId="0">
      <selection activeCell="G18" sqref="G18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4.375" style="5" customWidth="1"/>
    <col min="20" max="20" width="12" style="5" customWidth="1"/>
    <col min="21" max="21" width="19.375" style="5" customWidth="1"/>
    <col min="22" max="22" width="13.75" style="5" customWidth="1"/>
    <col min="23" max="23" width="11.375" style="5" customWidth="1"/>
    <col min="24" max="24" width="14" style="5" customWidth="1"/>
    <col min="25" max="25" width="6.75" style="5"/>
    <col min="26" max="26" width="7.375" style="5" customWidth="1"/>
    <col min="27" max="16384" width="6.75" style="5"/>
  </cols>
  <sheetData>
    <row r="1" s="1" customFormat="1" ht="33.6" customHeight="1" spans="1:24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160"/>
    </row>
    <row r="2" s="2" customFormat="1" ht="22" customHeight="1" spans="1:24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2" t="str">
        <f>INV!H14</f>
        <v>26HT1205010A</v>
      </c>
      <c r="J2" s="122"/>
      <c r="K2" s="122"/>
      <c r="L2" s="122"/>
      <c r="M2" s="122"/>
      <c r="N2" s="122"/>
      <c r="O2" s="122"/>
      <c r="P2" s="122"/>
      <c r="Q2" s="122"/>
      <c r="R2" s="161"/>
      <c r="S2" s="11" t="s">
        <v>6</v>
      </c>
      <c r="T2" s="162">
        <f>INV!H13</f>
        <v>46187</v>
      </c>
      <c r="U2" s="122"/>
      <c r="V2" s="122"/>
      <c r="W2" s="122"/>
      <c r="X2" s="163"/>
    </row>
    <row r="3" s="2" customFormat="1" ht="22" customHeight="1" spans="1:24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3" t="str">
        <f>INV!B26</f>
        <v>PO00074648</v>
      </c>
      <c r="J3" s="123"/>
      <c r="K3" s="123"/>
      <c r="L3" s="123"/>
      <c r="M3" s="123"/>
      <c r="N3" s="123"/>
      <c r="O3" s="123"/>
      <c r="P3" s="123"/>
      <c r="Q3" s="123"/>
      <c r="R3" s="164"/>
      <c r="S3" s="15" t="s">
        <v>167</v>
      </c>
      <c r="T3" s="123">
        <v>6102300000</v>
      </c>
      <c r="U3" s="123"/>
      <c r="V3" s="123"/>
      <c r="W3" s="123"/>
      <c r="X3" s="165"/>
    </row>
    <row r="4" s="2" customFormat="1" ht="22" customHeight="1" spans="1:24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66"/>
    </row>
    <row r="5" s="2" customFormat="1" ht="22" customHeight="1" spans="1:24">
      <c r="A5" s="19" t="s">
        <v>170</v>
      </c>
      <c r="B5" s="20"/>
      <c r="C5" s="20"/>
      <c r="D5" s="20"/>
      <c r="E5" s="20"/>
      <c r="F5" s="20"/>
      <c r="G5" s="20"/>
      <c r="H5" s="21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67"/>
    </row>
    <row r="6" s="2" customFormat="1" ht="22" customHeight="1" spans="1:24">
      <c r="A6" s="22" t="s">
        <v>171</v>
      </c>
      <c r="B6" s="23"/>
      <c r="C6" s="23"/>
      <c r="D6" s="23"/>
      <c r="E6" s="23"/>
      <c r="F6" s="23"/>
      <c r="G6" s="23"/>
      <c r="H6" s="21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67"/>
    </row>
    <row r="7" s="2" customFormat="1" ht="22" customHeight="1" spans="1:24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68"/>
    </row>
    <row r="8" s="2" customFormat="1" ht="22" customHeight="1" spans="1:24">
      <c r="A8" s="26"/>
      <c r="B8" s="25"/>
      <c r="C8" s="25"/>
      <c r="D8" s="25"/>
      <c r="E8" s="25"/>
      <c r="F8" s="25"/>
      <c r="G8" s="25"/>
      <c r="H8" s="27" t="s">
        <v>174</v>
      </c>
      <c r="I8" s="127"/>
      <c r="J8" s="127"/>
      <c r="K8" s="128"/>
      <c r="L8" s="129" t="s">
        <v>175</v>
      </c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69"/>
    </row>
    <row r="9" s="2" customFormat="1" ht="22" customHeight="1" spans="1:24">
      <c r="A9" s="28"/>
      <c r="B9" s="29"/>
      <c r="C9" s="29"/>
      <c r="D9" s="29"/>
      <c r="E9" s="29"/>
      <c r="F9" s="29"/>
      <c r="G9" s="29"/>
      <c r="H9" s="30" t="s">
        <v>176</v>
      </c>
      <c r="I9" s="131"/>
      <c r="J9" s="131"/>
      <c r="K9" s="132"/>
      <c r="L9" s="133" t="s">
        <v>177</v>
      </c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70"/>
    </row>
    <row r="10" s="2" customFormat="1" ht="22" customHeight="1" spans="1:24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71"/>
    </row>
    <row r="11" s="2" customFormat="1" ht="22" customHeight="1" spans="1:24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36" t="s">
        <v>184</v>
      </c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72"/>
    </row>
    <row r="12" s="2" customFormat="1" ht="22" customHeight="1" spans="1:24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38"/>
      <c r="J12" s="138"/>
      <c r="K12" s="139"/>
      <c r="L12" s="140" t="s">
        <v>188</v>
      </c>
      <c r="M12" s="141"/>
      <c r="N12" s="141"/>
      <c r="O12" s="141"/>
      <c r="P12" s="141"/>
      <c r="Q12" s="141"/>
      <c r="R12" s="173"/>
      <c r="S12" s="174" t="s">
        <v>189</v>
      </c>
      <c r="T12" s="174"/>
      <c r="U12" s="175" t="s">
        <v>190</v>
      </c>
      <c r="V12" s="175"/>
      <c r="W12" s="175"/>
      <c r="X12" s="176"/>
    </row>
    <row r="13" s="2" customFormat="1" ht="22" customHeight="1" spans="1:24">
      <c r="A13" s="44" t="str">
        <f>"Style - "&amp;INV!A26</f>
        <v>Style - 447310</v>
      </c>
      <c r="B13" s="45"/>
      <c r="C13" s="45"/>
      <c r="D13" s="45"/>
      <c r="E13" s="45"/>
      <c r="F13" s="45"/>
      <c r="G13" s="45"/>
      <c r="H13" s="15" t="s">
        <v>191</v>
      </c>
      <c r="I13" s="142"/>
      <c r="J13" s="142"/>
      <c r="K13" s="142"/>
      <c r="L13" s="143" t="str">
        <f>IF(I2="","",I2)</f>
        <v>26HT1205010A</v>
      </c>
      <c r="M13" s="144"/>
      <c r="N13" s="144"/>
      <c r="O13" s="144"/>
      <c r="P13" s="144"/>
      <c r="Q13" s="144"/>
      <c r="R13" s="177"/>
      <c r="S13" s="178" t="s">
        <v>192</v>
      </c>
      <c r="T13" s="178"/>
      <c r="U13" s="179"/>
      <c r="V13" s="179"/>
      <c r="W13" s="179"/>
      <c r="X13" s="180"/>
    </row>
    <row r="14" s="2" customFormat="1" ht="22" customHeight="1" spans="1:24">
      <c r="A14" s="46" t="s">
        <v>193</v>
      </c>
      <c r="B14" s="47"/>
      <c r="C14" s="48" t="s">
        <v>194</v>
      </c>
      <c r="D14" s="47" t="str">
        <f>"ORDER NO"&amp;" - "&amp;I3</f>
        <v>ORDER NO - PO00074648</v>
      </c>
      <c r="E14" s="47"/>
      <c r="F14" s="47"/>
      <c r="G14" s="47"/>
      <c r="H14" s="46" t="s">
        <v>195</v>
      </c>
      <c r="I14" s="47"/>
      <c r="J14" s="47"/>
      <c r="K14" s="47"/>
      <c r="L14" s="47"/>
      <c r="M14" s="47"/>
      <c r="N14" s="47"/>
      <c r="O14" s="47"/>
      <c r="P14" s="47"/>
      <c r="Q14" s="47"/>
      <c r="R14" s="181"/>
      <c r="S14" s="182"/>
      <c r="T14" s="183"/>
      <c r="U14" s="183"/>
      <c r="V14" s="183"/>
      <c r="W14" s="183"/>
      <c r="X14" s="184"/>
    </row>
    <row r="15" s="2" customFormat="1" ht="33" customHeight="1" spans="1:24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185"/>
      <c r="S15" s="186"/>
      <c r="T15" s="138"/>
      <c r="U15" s="138"/>
      <c r="V15" s="138"/>
      <c r="W15" s="138"/>
      <c r="X15" s="187"/>
    </row>
    <row r="16" s="2" customFormat="1" ht="22" customHeight="1" spans="1:24">
      <c r="A16" s="53" t="s">
        <v>196</v>
      </c>
      <c r="B16" s="54"/>
      <c r="C16" s="54"/>
      <c r="D16" s="54" t="s">
        <v>197</v>
      </c>
      <c r="E16" s="55" t="s">
        <v>198</v>
      </c>
      <c r="F16" s="56"/>
      <c r="G16" s="55" t="s">
        <v>199</v>
      </c>
      <c r="H16" s="57" t="s">
        <v>200</v>
      </c>
      <c r="I16" s="145" t="s">
        <v>201</v>
      </c>
      <c r="J16" s="145" t="s">
        <v>202</v>
      </c>
      <c r="K16" s="145" t="s">
        <v>203</v>
      </c>
      <c r="L16" s="145" t="s">
        <v>204</v>
      </c>
      <c r="M16" s="145" t="s">
        <v>205</v>
      </c>
      <c r="N16" s="145" t="s">
        <v>206</v>
      </c>
      <c r="O16" s="145"/>
      <c r="P16" s="145"/>
      <c r="Q16" s="145"/>
      <c r="R16" s="188"/>
      <c r="S16" s="181" t="s">
        <v>207</v>
      </c>
      <c r="T16" s="189" t="s">
        <v>208</v>
      </c>
      <c r="U16" s="189" t="s">
        <v>209</v>
      </c>
      <c r="V16" s="189" t="s">
        <v>210</v>
      </c>
      <c r="W16" s="189" t="s">
        <v>211</v>
      </c>
      <c r="X16" s="190" t="s">
        <v>212</v>
      </c>
    </row>
    <row r="17" s="3" customFormat="1" ht="22" customHeight="1" spans="1:24">
      <c r="A17" s="58">
        <v>1</v>
      </c>
      <c r="B17" s="59" t="str">
        <f t="shared" ref="B17:B29" si="0">IF(A17="","","TO")</f>
        <v>TO</v>
      </c>
      <c r="C17" s="60">
        <v>11</v>
      </c>
      <c r="D17" s="61">
        <f t="shared" ref="D17:D29" si="1">C17-A17+1</f>
        <v>11</v>
      </c>
      <c r="E17" s="62" t="s">
        <v>213</v>
      </c>
      <c r="F17" s="63"/>
      <c r="G17" s="64">
        <v>20000</v>
      </c>
      <c r="H17" s="65"/>
      <c r="I17" s="146">
        <v>8</v>
      </c>
      <c r="J17" s="146"/>
      <c r="K17" s="146"/>
      <c r="L17" s="146"/>
      <c r="M17" s="146"/>
      <c r="N17" s="146"/>
      <c r="O17" s="146"/>
      <c r="P17" s="70"/>
      <c r="Q17" s="70"/>
      <c r="R17" s="191"/>
      <c r="S17" s="192">
        <f t="shared" ref="S17:S29" si="2">IF(A17="","",ROUNDUP(SUM(U17/2),0))</f>
        <v>44</v>
      </c>
      <c r="T17" s="193">
        <f t="shared" ref="T17:T29" si="3">IF(A17="","",ROUNDDOWN(SUM(U17/2),0))</f>
        <v>44</v>
      </c>
      <c r="U17" s="193">
        <f t="shared" ref="U17:U29" si="4">IF(D17="","",SUM(SUM(H17:R17)*D17))</f>
        <v>88</v>
      </c>
      <c r="V17" s="194">
        <v>7.5</v>
      </c>
      <c r="W17" s="194">
        <v>6.5</v>
      </c>
      <c r="X17" s="195" t="s">
        <v>214</v>
      </c>
    </row>
    <row r="18" s="3" customFormat="1" ht="22" customHeight="1" spans="1:24">
      <c r="A18" s="58">
        <v>12</v>
      </c>
      <c r="B18" s="66" t="str">
        <f t="shared" si="0"/>
        <v>TO</v>
      </c>
      <c r="C18" s="60">
        <v>48</v>
      </c>
      <c r="D18" s="61">
        <f t="shared" si="1"/>
        <v>37</v>
      </c>
      <c r="E18" s="67" t="s">
        <v>213</v>
      </c>
      <c r="F18" s="68"/>
      <c r="G18" s="64">
        <v>20000</v>
      </c>
      <c r="H18" s="65"/>
      <c r="I18" s="146"/>
      <c r="J18" s="146">
        <v>8</v>
      </c>
      <c r="K18" s="146"/>
      <c r="L18" s="146"/>
      <c r="M18" s="146"/>
      <c r="N18" s="146"/>
      <c r="O18" s="146"/>
      <c r="P18" s="70"/>
      <c r="Q18" s="70"/>
      <c r="R18" s="191"/>
      <c r="S18" s="192">
        <f t="shared" si="2"/>
        <v>148</v>
      </c>
      <c r="T18" s="193">
        <f t="shared" si="3"/>
        <v>148</v>
      </c>
      <c r="U18" s="193">
        <f t="shared" si="4"/>
        <v>296</v>
      </c>
      <c r="V18" s="194">
        <v>7.5</v>
      </c>
      <c r="W18" s="194">
        <v>6.5</v>
      </c>
      <c r="X18" s="195" t="s">
        <v>214</v>
      </c>
    </row>
    <row r="19" s="3" customFormat="1" ht="22" customHeight="1" spans="1:24">
      <c r="A19" s="58">
        <v>49</v>
      </c>
      <c r="B19" s="66" t="str">
        <f t="shared" si="0"/>
        <v>TO</v>
      </c>
      <c r="C19" s="60">
        <v>136</v>
      </c>
      <c r="D19" s="61">
        <f t="shared" si="1"/>
        <v>88</v>
      </c>
      <c r="E19" s="67" t="s">
        <v>213</v>
      </c>
      <c r="F19" s="68"/>
      <c r="G19" s="64">
        <v>20000</v>
      </c>
      <c r="H19" s="65"/>
      <c r="I19" s="146"/>
      <c r="J19" s="146"/>
      <c r="K19" s="146">
        <v>8</v>
      </c>
      <c r="L19" s="146"/>
      <c r="M19" s="146"/>
      <c r="N19" s="146"/>
      <c r="O19" s="146"/>
      <c r="P19" s="70"/>
      <c r="Q19" s="70"/>
      <c r="R19" s="191"/>
      <c r="S19" s="192">
        <f t="shared" si="2"/>
        <v>352</v>
      </c>
      <c r="T19" s="193">
        <f t="shared" si="3"/>
        <v>352</v>
      </c>
      <c r="U19" s="193">
        <f t="shared" si="4"/>
        <v>704</v>
      </c>
      <c r="V19" s="194">
        <v>7.5</v>
      </c>
      <c r="W19" s="194">
        <v>6.5</v>
      </c>
      <c r="X19" s="195" t="s">
        <v>214</v>
      </c>
    </row>
    <row r="20" s="3" customFormat="1" ht="22" customHeight="1" spans="1:24">
      <c r="A20" s="58">
        <v>137</v>
      </c>
      <c r="B20" s="66" t="str">
        <f t="shared" si="0"/>
        <v>TO</v>
      </c>
      <c r="C20" s="60">
        <v>190</v>
      </c>
      <c r="D20" s="61">
        <f t="shared" si="1"/>
        <v>54</v>
      </c>
      <c r="E20" s="67" t="s">
        <v>213</v>
      </c>
      <c r="F20" s="68"/>
      <c r="G20" s="64">
        <v>20000</v>
      </c>
      <c r="H20" s="65"/>
      <c r="I20" s="146"/>
      <c r="J20" s="146"/>
      <c r="K20" s="146"/>
      <c r="L20" s="146">
        <v>7</v>
      </c>
      <c r="M20" s="146"/>
      <c r="N20" s="146"/>
      <c r="O20" s="146"/>
      <c r="P20" s="70"/>
      <c r="Q20" s="70"/>
      <c r="R20" s="191"/>
      <c r="S20" s="192">
        <f t="shared" si="2"/>
        <v>189</v>
      </c>
      <c r="T20" s="193">
        <f t="shared" si="3"/>
        <v>189</v>
      </c>
      <c r="U20" s="193">
        <f t="shared" si="4"/>
        <v>378</v>
      </c>
      <c r="V20" s="194">
        <v>7.5</v>
      </c>
      <c r="W20" s="194">
        <v>6.5</v>
      </c>
      <c r="X20" s="195" t="s">
        <v>214</v>
      </c>
    </row>
    <row r="21" s="3" customFormat="1" ht="22" customHeight="1" spans="1:24">
      <c r="A21" s="58">
        <v>191</v>
      </c>
      <c r="B21" s="66" t="str">
        <f t="shared" si="0"/>
        <v>TO</v>
      </c>
      <c r="C21" s="60">
        <v>197</v>
      </c>
      <c r="D21" s="61">
        <f t="shared" si="1"/>
        <v>7</v>
      </c>
      <c r="E21" s="67" t="s">
        <v>213</v>
      </c>
      <c r="F21" s="68"/>
      <c r="G21" s="64">
        <v>20000</v>
      </c>
      <c r="H21" s="65"/>
      <c r="I21" s="146"/>
      <c r="J21" s="146"/>
      <c r="K21" s="146"/>
      <c r="L21" s="146"/>
      <c r="M21" s="146">
        <v>7</v>
      </c>
      <c r="N21" s="146"/>
      <c r="O21" s="146"/>
      <c r="P21" s="70"/>
      <c r="Q21" s="70"/>
      <c r="R21" s="191"/>
      <c r="S21" s="192">
        <f t="shared" si="2"/>
        <v>25</v>
      </c>
      <c r="T21" s="193">
        <f t="shared" si="3"/>
        <v>24</v>
      </c>
      <c r="U21" s="193">
        <f t="shared" si="4"/>
        <v>49</v>
      </c>
      <c r="V21" s="194">
        <v>7.5</v>
      </c>
      <c r="W21" s="194">
        <v>6.5</v>
      </c>
      <c r="X21" s="195" t="s">
        <v>214</v>
      </c>
    </row>
    <row r="22" s="3" customFormat="1" ht="22" customHeight="1" spans="1:24">
      <c r="A22" s="58">
        <v>198</v>
      </c>
      <c r="B22" s="66" t="str">
        <f t="shared" si="0"/>
        <v>TO</v>
      </c>
      <c r="C22" s="60">
        <v>199</v>
      </c>
      <c r="D22" s="61">
        <f t="shared" si="1"/>
        <v>2</v>
      </c>
      <c r="E22" s="67" t="s">
        <v>213</v>
      </c>
      <c r="F22" s="68"/>
      <c r="G22" s="64">
        <v>20000</v>
      </c>
      <c r="H22" s="65"/>
      <c r="I22" s="146"/>
      <c r="J22" s="146"/>
      <c r="K22" s="146"/>
      <c r="L22" s="146"/>
      <c r="M22" s="146"/>
      <c r="N22" s="146">
        <v>7</v>
      </c>
      <c r="O22" s="146"/>
      <c r="P22" s="70"/>
      <c r="Q22" s="70"/>
      <c r="R22" s="191"/>
      <c r="S22" s="192">
        <f t="shared" si="2"/>
        <v>7</v>
      </c>
      <c r="T22" s="193">
        <f t="shared" si="3"/>
        <v>7</v>
      </c>
      <c r="U22" s="193">
        <f t="shared" si="4"/>
        <v>14</v>
      </c>
      <c r="V22" s="194">
        <v>7.5</v>
      </c>
      <c r="W22" s="194">
        <v>6.5</v>
      </c>
      <c r="X22" s="195" t="s">
        <v>214</v>
      </c>
    </row>
    <row r="23" s="3" customFormat="1" ht="22" customHeight="1" spans="1:24">
      <c r="A23" s="58">
        <v>200</v>
      </c>
      <c r="B23" s="66" t="str">
        <f t="shared" si="0"/>
        <v>TO</v>
      </c>
      <c r="C23" s="60">
        <v>200</v>
      </c>
      <c r="D23" s="61">
        <f t="shared" si="1"/>
        <v>1</v>
      </c>
      <c r="E23" s="67" t="s">
        <v>213</v>
      </c>
      <c r="F23" s="68"/>
      <c r="G23" s="64">
        <v>20000</v>
      </c>
      <c r="H23" s="65"/>
      <c r="I23" s="146">
        <v>5</v>
      </c>
      <c r="J23" s="146"/>
      <c r="K23" s="146"/>
      <c r="L23" s="146">
        <v>2</v>
      </c>
      <c r="M23" s="146"/>
      <c r="N23" s="146"/>
      <c r="O23" s="146"/>
      <c r="P23" s="70"/>
      <c r="Q23" s="70"/>
      <c r="R23" s="191"/>
      <c r="S23" s="192">
        <f t="shared" si="2"/>
        <v>4</v>
      </c>
      <c r="T23" s="193">
        <f t="shared" si="3"/>
        <v>3</v>
      </c>
      <c r="U23" s="193">
        <f t="shared" si="4"/>
        <v>7</v>
      </c>
      <c r="V23" s="194">
        <v>7.5</v>
      </c>
      <c r="W23" s="194">
        <v>6.5</v>
      </c>
      <c r="X23" s="195" t="s">
        <v>214</v>
      </c>
    </row>
    <row r="24" s="3" customFormat="1" ht="22" customHeight="1" spans="1:24">
      <c r="A24" s="58">
        <v>201</v>
      </c>
      <c r="B24" s="66" t="str">
        <f t="shared" si="0"/>
        <v>TO</v>
      </c>
      <c r="C24" s="60">
        <v>201</v>
      </c>
      <c r="D24" s="61">
        <f t="shared" si="1"/>
        <v>1</v>
      </c>
      <c r="E24" s="67" t="s">
        <v>213</v>
      </c>
      <c r="F24" s="68"/>
      <c r="G24" s="64">
        <v>20000</v>
      </c>
      <c r="H24" s="65"/>
      <c r="I24" s="146"/>
      <c r="J24" s="146">
        <v>1</v>
      </c>
      <c r="K24" s="146">
        <v>1</v>
      </c>
      <c r="L24" s="146"/>
      <c r="M24" s="146">
        <v>1</v>
      </c>
      <c r="N24" s="146">
        <v>4</v>
      </c>
      <c r="O24" s="146"/>
      <c r="P24" s="70"/>
      <c r="Q24" s="70"/>
      <c r="R24" s="191"/>
      <c r="S24" s="192">
        <f t="shared" si="2"/>
        <v>4</v>
      </c>
      <c r="T24" s="193">
        <f t="shared" si="3"/>
        <v>3</v>
      </c>
      <c r="U24" s="193">
        <f t="shared" si="4"/>
        <v>7</v>
      </c>
      <c r="V24" s="194">
        <v>7.5</v>
      </c>
      <c r="W24" s="194">
        <v>6.5</v>
      </c>
      <c r="X24" s="195" t="s">
        <v>214</v>
      </c>
    </row>
    <row r="25" s="3" customFormat="1" ht="22" customHeight="1" spans="1:24">
      <c r="A25" s="58"/>
      <c r="B25" s="66"/>
      <c r="C25" s="60"/>
      <c r="D25" s="61"/>
      <c r="E25" s="67"/>
      <c r="F25" s="68"/>
      <c r="G25" s="64"/>
      <c r="H25" s="69"/>
      <c r="I25" s="147"/>
      <c r="J25" s="147"/>
      <c r="K25" s="147"/>
      <c r="L25" s="147"/>
      <c r="M25" s="147"/>
      <c r="N25" s="147"/>
      <c r="O25" s="148"/>
      <c r="P25" s="149"/>
      <c r="Q25" s="149"/>
      <c r="R25" s="196"/>
      <c r="S25" s="192"/>
      <c r="T25" s="193"/>
      <c r="U25" s="193"/>
      <c r="V25" s="197"/>
      <c r="W25" s="197"/>
      <c r="X25" s="195"/>
    </row>
    <row r="26" s="3" customFormat="1" ht="22" customHeight="1" spans="1:24">
      <c r="A26" s="70"/>
      <c r="B26" s="71" t="str">
        <f>IF(A26="","","TO")</f>
        <v/>
      </c>
      <c r="C26" s="70"/>
      <c r="D26" s="72"/>
      <c r="E26" s="73"/>
      <c r="F26" s="73"/>
      <c r="G26" s="74"/>
      <c r="H26" s="69"/>
      <c r="I26" s="70"/>
      <c r="J26" s="70"/>
      <c r="K26" s="70"/>
      <c r="L26" s="70"/>
      <c r="M26" s="70"/>
      <c r="N26" s="70"/>
      <c r="O26" s="70"/>
      <c r="P26" s="70"/>
      <c r="Q26" s="70"/>
      <c r="R26" s="198"/>
      <c r="S26" s="199" t="str">
        <f>IF(A26="","",ROUNDUP(SUM(U26/2),0))</f>
        <v/>
      </c>
      <c r="T26" s="193" t="str">
        <f>IF(A26="","",ROUNDDOWN(SUM(U26/2),0))</f>
        <v/>
      </c>
      <c r="U26" s="193" t="str">
        <f>IF(D26="","",SUM(SUM(H26:R26)*D26))</f>
        <v/>
      </c>
      <c r="V26" s="197"/>
      <c r="W26" s="197"/>
      <c r="X26" s="195"/>
    </row>
    <row r="27" s="3" customFormat="1" ht="22" customHeight="1" spans="1:24">
      <c r="A27" s="70"/>
      <c r="B27" s="71" t="str">
        <f>IF(A27="","","TO")</f>
        <v/>
      </c>
      <c r="C27" s="70"/>
      <c r="D27" s="72" t="str">
        <f>IF(A27="","",SUM(C27-A27+1))</f>
        <v/>
      </c>
      <c r="E27" s="73" t="str">
        <f>IF(A27="","",E26)</f>
        <v/>
      </c>
      <c r="F27" s="73"/>
      <c r="G27" s="74"/>
      <c r="H27" s="75"/>
      <c r="I27" s="70"/>
      <c r="J27" s="70"/>
      <c r="K27" s="70"/>
      <c r="L27" s="70"/>
      <c r="M27" s="70"/>
      <c r="N27" s="70"/>
      <c r="O27" s="70"/>
      <c r="P27" s="70"/>
      <c r="Q27" s="70"/>
      <c r="R27" s="198"/>
      <c r="S27" s="199" t="str">
        <f>IF(A27="","",ROUNDUP(SUM(U27/2),0))</f>
        <v/>
      </c>
      <c r="T27" s="193" t="str">
        <f>IF(A27="","",ROUNDDOWN(SUM(U27/2),0))</f>
        <v/>
      </c>
      <c r="U27" s="193" t="str">
        <f>IF(D27="","",SUM(SUM(H27:R27)*D27))</f>
        <v/>
      </c>
      <c r="V27" s="197"/>
      <c r="W27" s="197"/>
      <c r="X27" s="195"/>
    </row>
    <row r="28" s="2" customFormat="1" ht="22" customHeight="1" spans="1:24">
      <c r="A28" s="76"/>
      <c r="B28" s="77"/>
      <c r="C28" s="78"/>
      <c r="D28" s="79" t="str">
        <f>IF(A28="","",SUM(C28-A28+1))</f>
        <v/>
      </c>
      <c r="E28" s="80"/>
      <c r="F28" s="81"/>
      <c r="G28" s="82"/>
      <c r="H28" s="83"/>
      <c r="I28" s="150"/>
      <c r="J28" s="150"/>
      <c r="K28" s="150"/>
      <c r="L28" s="150"/>
      <c r="M28" s="151"/>
      <c r="N28" s="78"/>
      <c r="O28" s="152" t="s">
        <v>209</v>
      </c>
      <c r="P28" s="153"/>
      <c r="Q28" s="153"/>
      <c r="R28" s="200"/>
      <c r="S28" s="201">
        <f>SUM(S17:S27)</f>
        <v>773</v>
      </c>
      <c r="T28" s="201">
        <f>SUM(T17:T27)</f>
        <v>770</v>
      </c>
      <c r="U28" s="202">
        <f>SUM(U16:U27)</f>
        <v>1543</v>
      </c>
      <c r="V28" s="203">
        <f>SUMPRODUCT(V17:V27,$D$17:$D$27)</f>
        <v>1507.5</v>
      </c>
      <c r="W28" s="204">
        <f>SUMPRODUCT(W17:W27,$D$17:$D$27)</f>
        <v>1306.5</v>
      </c>
      <c r="X28" s="205">
        <f>ROUND(0.6*0.4*0.3*D30,2)</f>
        <v>14.47</v>
      </c>
    </row>
    <row r="29" s="2" customFormat="1" ht="22" customHeight="1" spans="1:24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</row>
    <row r="30" s="2" customFormat="1" ht="22" customHeight="1" spans="1:24">
      <c r="A30" s="86"/>
      <c r="B30" s="87" t="s">
        <v>215</v>
      </c>
      <c r="C30" s="88"/>
      <c r="D30" s="89">
        <f>SUM(D17:D28)</f>
        <v>201</v>
      </c>
      <c r="E30" s="90"/>
      <c r="F30" s="91"/>
      <c r="G30" s="91"/>
      <c r="H30" s="91"/>
      <c r="I30" s="91"/>
      <c r="J30" s="91"/>
      <c r="K30" s="91"/>
      <c r="L30" s="91"/>
      <c r="M30" s="91"/>
      <c r="N30" s="91"/>
      <c r="O30" s="95" t="s">
        <v>209</v>
      </c>
      <c r="P30" s="95"/>
      <c r="Q30" s="95"/>
      <c r="R30" s="95"/>
      <c r="S30" s="206">
        <f t="shared" ref="S30:X30" si="5">S28</f>
        <v>773</v>
      </c>
      <c r="T30" s="206">
        <f t="shared" si="5"/>
        <v>770</v>
      </c>
      <c r="U30" s="89">
        <f t="shared" si="5"/>
        <v>1543</v>
      </c>
      <c r="V30" s="207">
        <f t="shared" si="5"/>
        <v>1507.5</v>
      </c>
      <c r="W30" s="207">
        <f t="shared" si="5"/>
        <v>1306.5</v>
      </c>
      <c r="X30" s="208">
        <f t="shared" si="5"/>
        <v>14.47</v>
      </c>
    </row>
    <row r="31" s="2" customFormat="1" ht="22" customHeight="1" spans="1:24">
      <c r="A31" s="92" t="s">
        <v>216</v>
      </c>
      <c r="B31" s="93"/>
      <c r="C31" s="93"/>
      <c r="D31" s="93"/>
      <c r="E31" s="93"/>
      <c r="F31" s="93"/>
      <c r="G31" s="88"/>
      <c r="H31" s="94" t="s">
        <v>195</v>
      </c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209"/>
      <c r="V31" s="210"/>
      <c r="W31" s="210"/>
      <c r="X31" s="211"/>
    </row>
    <row r="32" s="4" customFormat="1" ht="22" customHeight="1" spans="1:24">
      <c r="A32" s="92" t="s">
        <v>217</v>
      </c>
      <c r="B32" s="88"/>
      <c r="C32" s="95" t="s">
        <v>218</v>
      </c>
      <c r="D32" s="95" t="s">
        <v>219</v>
      </c>
      <c r="E32" s="87" t="s">
        <v>198</v>
      </c>
      <c r="F32" s="88"/>
      <c r="G32" s="95" t="s">
        <v>199</v>
      </c>
      <c r="H32" s="95" t="str">
        <f t="shared" ref="H32:R32" si="6">IF(H16="","",H16)</f>
        <v>XXS</v>
      </c>
      <c r="I32" s="95" t="str">
        <f t="shared" si="6"/>
        <v>XS</v>
      </c>
      <c r="J32" s="95" t="str">
        <f t="shared" si="6"/>
        <v>S</v>
      </c>
      <c r="K32" s="95" t="str">
        <f t="shared" si="6"/>
        <v>M</v>
      </c>
      <c r="L32" s="95" t="str">
        <f t="shared" si="6"/>
        <v>L</v>
      </c>
      <c r="M32" s="95" t="str">
        <f t="shared" si="6"/>
        <v>XL</v>
      </c>
      <c r="N32" s="95" t="str">
        <f t="shared" si="6"/>
        <v>XXL</v>
      </c>
      <c r="O32" s="95" t="str">
        <f t="shared" si="6"/>
        <v/>
      </c>
      <c r="P32" s="95" t="str">
        <f t="shared" si="6"/>
        <v/>
      </c>
      <c r="Q32" s="95" t="str">
        <f t="shared" si="6"/>
        <v/>
      </c>
      <c r="R32" s="95" t="str">
        <f t="shared" si="6"/>
        <v/>
      </c>
      <c r="S32" s="95" t="s">
        <v>209</v>
      </c>
      <c r="T32" s="95"/>
      <c r="U32" s="95" t="s">
        <v>220</v>
      </c>
      <c r="V32" s="95" t="s">
        <v>221</v>
      </c>
      <c r="W32" s="212" t="s">
        <v>222</v>
      </c>
      <c r="X32" s="212" t="s">
        <v>212</v>
      </c>
    </row>
    <row r="33" s="2" customFormat="1" ht="36" customHeight="1" spans="1:24">
      <c r="A33" s="96" t="str">
        <f>C14</f>
        <v>Home Shopping</v>
      </c>
      <c r="B33" s="97"/>
      <c r="C33" s="98" t="s">
        <v>223</v>
      </c>
      <c r="D33" s="99" t="str">
        <f>I3</f>
        <v>PO00074648</v>
      </c>
      <c r="E33" s="100" t="str">
        <f>E17</f>
        <v>NAVY MULTI</v>
      </c>
      <c r="F33" s="97"/>
      <c r="G33" s="101">
        <f>G17</f>
        <v>20000</v>
      </c>
      <c r="H33" s="99" t="str">
        <f>IF(SUM(H17:H27)=0,"",SUMPRODUCT(H17:H27,$D$17:$D$27))</f>
        <v/>
      </c>
      <c r="I33" s="99">
        <f>IF(SUM(I17:I27)=0,"",SUMPRODUCT(I17:I27,$D$17:$D$27))</f>
        <v>93</v>
      </c>
      <c r="J33" s="99">
        <f>IF(SUM(J17:J27)=0,"",SUMPRODUCT(J17:J27,$D$17:$D$27))</f>
        <v>297</v>
      </c>
      <c r="K33" s="99">
        <f>IF(SUM(K17:K27)=0,"",SUMPRODUCT(K17:K27,$D$17:$D$27))</f>
        <v>705</v>
      </c>
      <c r="L33" s="99">
        <f>IF(SUM(L17:L27)=0,"",SUMPRODUCT(L17:L27,$D$17:$D$27))</f>
        <v>380</v>
      </c>
      <c r="M33" s="99">
        <f>IF(SUM(M17:M27)=0,"",SUMPRODUCT(M17:M27,$D$17:$D$27))</f>
        <v>50</v>
      </c>
      <c r="N33" s="99">
        <f>IF(SUM(N17:N27)=0,"",SUMPRODUCT(N17:N27,$D$17:$D$27))</f>
        <v>18</v>
      </c>
      <c r="O33" s="99" t="str">
        <f>IF(SUM(O17:O27)=0,"",SUMPRODUCT(O17:O27,$D$17:$D$27))</f>
        <v/>
      </c>
      <c r="P33" s="99" t="str">
        <f>IF(SUM(P17:P27)=0,"",SUMPRODUCT(P17:P27,$D$17:$D$27))</f>
        <v/>
      </c>
      <c r="Q33" s="99" t="str">
        <f>IF(SUM(Q17:Q27)=0,"",SUMPRODUCT(Q17:Q27,$D$17:$D$27))</f>
        <v/>
      </c>
      <c r="R33" s="99" t="str">
        <f>IF(SUM(R17:R27)=0,"",SUMPRODUCT(R17:R27,$D$17:$D$27))</f>
        <v/>
      </c>
      <c r="S33" s="99">
        <f>IF(SUM(U17:U27)=0,"",SUM(U17:U27))</f>
        <v>1543</v>
      </c>
      <c r="T33" s="99"/>
      <c r="U33" s="99">
        <f>IF(SUM(U17:U27)=0,"",SUM(U17:U27))</f>
        <v>1543</v>
      </c>
      <c r="V33" s="213">
        <f t="shared" ref="V33:X33" si="7">V30</f>
        <v>1507.5</v>
      </c>
      <c r="W33" s="213">
        <f t="shared" si="7"/>
        <v>1306.5</v>
      </c>
      <c r="X33" s="213">
        <f t="shared" si="7"/>
        <v>14.47</v>
      </c>
    </row>
    <row r="34" s="2" customFormat="1" ht="22" customHeight="1" spans="1:24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214"/>
    </row>
    <row r="35" s="2" customFormat="1" ht="22" customHeight="1" spans="1:24">
      <c r="A35" s="102" t="str">
        <f>IF(L13="","",CONCATENATE("The exporter "&amp;C3&amp;" of the products covered by Invoice "&amp;I2&amp;" Date "&amp;TEXT(T2,"DD/MM/YYYY")&amp;"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26HT1205010A Date 14/06/2026 declares that, except where otherwise clearly indicated,these products are of CHINA Preferential Origin according to rules of origin of the Developing Countries Trading Scheme of the U.K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215"/>
    </row>
    <row r="36" s="2" customFormat="1" ht="22" customHeight="1" spans="1:24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216"/>
    </row>
    <row r="37" s="2" customFormat="1" ht="22" customHeight="1" spans="1:24">
      <c r="A37" s="102" t="str">
        <f>IF(U13="","",CONCATENATE("THE EXPORTER OF THE PRODUCTS COVERED BY THIS DOCUMENT REX NUMBER "&amp;U13&amp;" DECLARE THAT, EXCEPT WHERE OTHERWISE CLEARLY INDICATED, THESE PRODUCTS ARE OF "&amp;H9&amp;" PREFERENTIAL ORIGIN ACCORDING TO RULES OF ORIGIN OF THE EUROPEAN UNION AND THAT THE ORIGIN CRITERION MET IS '"&amp;MID(U12,LEN(U12)-1,1)&amp;"' "))</f>
        <v/>
      </c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215"/>
    </row>
    <row r="38" s="2" customFormat="1" ht="22" customHeight="1" spans="1:24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216"/>
    </row>
    <row r="39" s="2" customFormat="1" ht="22" customHeight="1" spans="1:24">
      <c r="A39" s="106" t="s">
        <v>224</v>
      </c>
      <c r="B39" s="107"/>
      <c r="C39" s="107"/>
      <c r="D39" s="108"/>
      <c r="E39" s="109" t="s">
        <v>225</v>
      </c>
      <c r="F39" s="110"/>
      <c r="G39" s="111"/>
      <c r="H39" s="112"/>
      <c r="I39" s="154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217"/>
    </row>
    <row r="40" s="2" customFormat="1" ht="22" customHeight="1" spans="1:24">
      <c r="A40" s="113"/>
      <c r="B40" s="114"/>
      <c r="C40" s="114"/>
      <c r="D40" s="115" t="s">
        <v>209</v>
      </c>
      <c r="E40" s="115"/>
      <c r="F40" s="116">
        <f>U28</f>
        <v>1543</v>
      </c>
      <c r="G40" s="116"/>
      <c r="H40" s="115" t="s">
        <v>226</v>
      </c>
      <c r="I40" s="156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218"/>
    </row>
    <row r="41" s="2" customFormat="1" ht="22" customHeight="1" spans="1:24">
      <c r="A41" s="113"/>
      <c r="B41" s="114"/>
      <c r="C41" s="114"/>
      <c r="D41" s="115" t="s">
        <v>227</v>
      </c>
      <c r="E41" s="115"/>
      <c r="F41" s="116">
        <f>D30</f>
        <v>201</v>
      </c>
      <c r="G41" s="116"/>
      <c r="H41" s="115" t="s">
        <v>228</v>
      </c>
      <c r="I41" s="156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218"/>
    </row>
    <row r="42" s="2" customFormat="1" ht="22" customHeight="1" spans="1:24">
      <c r="A42" s="113"/>
      <c r="B42" s="114"/>
      <c r="C42" s="114"/>
      <c r="D42" s="115" t="s">
        <v>229</v>
      </c>
      <c r="E42" s="115"/>
      <c r="F42" s="117">
        <f>V28</f>
        <v>1507.5</v>
      </c>
      <c r="G42" s="117"/>
      <c r="H42" s="115" t="s">
        <v>230</v>
      </c>
      <c r="I42" s="156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218"/>
    </row>
    <row r="43" s="2" customFormat="1" ht="22" customHeight="1" spans="1:24">
      <c r="A43" s="118"/>
      <c r="B43" s="119"/>
      <c r="C43" s="119"/>
      <c r="D43" s="120" t="s">
        <v>231</v>
      </c>
      <c r="E43" s="120"/>
      <c r="F43" s="121">
        <f>W28</f>
        <v>1306.5</v>
      </c>
      <c r="G43" s="121"/>
      <c r="H43" s="120" t="s">
        <v>230</v>
      </c>
      <c r="I43" s="158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219"/>
    </row>
  </sheetData>
  <sheetProtection deleteColumns="0"/>
  <mergeCells count="80">
    <mergeCell ref="A1:X1"/>
    <mergeCell ref="A2:G2"/>
    <mergeCell ref="I2:R2"/>
    <mergeCell ref="T2:X2"/>
    <mergeCell ref="A3:B3"/>
    <mergeCell ref="C3:G3"/>
    <mergeCell ref="I3:R3"/>
    <mergeCell ref="T3:X3"/>
    <mergeCell ref="A4:G4"/>
    <mergeCell ref="H4:X4"/>
    <mergeCell ref="A5:G5"/>
    <mergeCell ref="A6:G6"/>
    <mergeCell ref="I7:X7"/>
    <mergeCell ref="H8:K8"/>
    <mergeCell ref="L8:X8"/>
    <mergeCell ref="H9:K9"/>
    <mergeCell ref="L9:X9"/>
    <mergeCell ref="A10:C10"/>
    <mergeCell ref="D10:G10"/>
    <mergeCell ref="H10:X10"/>
    <mergeCell ref="A11:C11"/>
    <mergeCell ref="D11:G11"/>
    <mergeCell ref="I11:X11"/>
    <mergeCell ref="A12:C12"/>
    <mergeCell ref="D12:G12"/>
    <mergeCell ref="H12:K12"/>
    <mergeCell ref="L12:R12"/>
    <mergeCell ref="S12:T12"/>
    <mergeCell ref="U12:X12"/>
    <mergeCell ref="A13:G13"/>
    <mergeCell ref="H13:K13"/>
    <mergeCell ref="L13:R13"/>
    <mergeCell ref="S13:T13"/>
    <mergeCell ref="U13:X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A29:X29"/>
    <mergeCell ref="B30:C30"/>
    <mergeCell ref="E30:N30"/>
    <mergeCell ref="A31:G31"/>
    <mergeCell ref="H31:S31"/>
    <mergeCell ref="U31:V31"/>
    <mergeCell ref="A32:B32"/>
    <mergeCell ref="E32:F32"/>
    <mergeCell ref="A33:B33"/>
    <mergeCell ref="E33:F33"/>
    <mergeCell ref="A34:X34"/>
    <mergeCell ref="A39:D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C14:C15"/>
    <mergeCell ref="H5:X6"/>
    <mergeCell ref="A7:G9"/>
    <mergeCell ref="A14:B15"/>
    <mergeCell ref="D14:G15"/>
    <mergeCell ref="H14:R15"/>
    <mergeCell ref="S14:X15"/>
    <mergeCell ref="A37:X38"/>
    <mergeCell ref="A35:X36"/>
    <mergeCell ref="I39:X43"/>
    <mergeCell ref="A40:C43"/>
  </mergeCells>
  <dataValidations count="4">
    <dataValidation type="list" allowBlank="1" showInputMessage="1" sqref="D10:G10">
      <formula1>"SEA,AIR,ROAD"</formula1>
    </dataValidation>
    <dataValidation type="list" allowBlank="1" showInputMessage="1" promptTitle="SELECT PORT" sqref="D12:G12">
      <formula1>"SOUTHAMPTON,LONDON GATEWAY,FELIXSTOWE,HEATHROW,DOVER"</formula1>
    </dataValidation>
    <dataValidation type="list" allowBlank="1" showInputMessage="1" showErrorMessage="1" sqref="U12:X12">
      <formula1>"N/A,WHOLLY OBTAIND (W),PREFERENTIAL ORIGIN (P)"</formula1>
    </dataValidation>
    <dataValidation allowBlank="1" showInputMessage="1" sqref="C14:C15"/>
  </dataValidations>
  <pageMargins left="0.700694444444445" right="0.700694444444445" top="0.751388888888889" bottom="0.751388888888889" header="0.298611111111111" footer="0.298611111111111"/>
  <pageSetup paperSize="9" scale="38" orientation="landscape" horizontalDpi="600"/>
  <headerFooter/>
  <ignoredErrors>
    <ignoredError sqref="B26:B28" unlockedFormula="1"/>
    <ignoredError sqref="U18 U17 U25:U26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A9E11C3D-983F-4B1B-BD56-6D9A7F2B0EB2}"/>
</file>

<file path=customXml/itemProps3.xml><?xml version="1.0" encoding="utf-8"?>
<ds:datastoreItem xmlns:ds="http://schemas.openxmlformats.org/officeDocument/2006/customXml" ds:itemID="{4A9F41DC-0B54-48CF-9F87-7DD626EBEC0D}"/>
</file>

<file path=customXml/itemProps4.xml><?xml version="1.0" encoding="utf-8"?>
<ds:datastoreItem xmlns:ds="http://schemas.openxmlformats.org/officeDocument/2006/customXml" ds:itemID="{3F18EFA1-41DB-493F-A5E3-233FE8D55471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