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报关资料\CITY CHIC\12-2 到仓 33 00226272 00226273\清关资料\"/>
    </mc:Choice>
  </mc:AlternateContent>
  <xr:revisionPtr revIDLastSave="0" documentId="13_ncr:1_{59B97128-895C-4BAB-ABCB-59735EBE9769}" xr6:coauthVersionLast="47" xr6:coauthVersionMax="47" xr10:uidLastSave="{00000000-0000-0000-0000-000000000000}"/>
  <bookViews>
    <workbookView xWindow="-120" yWindow="-120" windowWidth="21840" windowHeight="13140" tabRatio="597" xr2:uid="{00000000-000D-0000-FFFF-FFFF00000000}"/>
  </bookViews>
  <sheets>
    <sheet name="AU" sheetId="54" r:id="rId1"/>
  </sheets>
  <externalReferences>
    <externalReference r:id="rId2"/>
  </externalReferences>
  <definedNames>
    <definedName name="_xlnm.Print_Area" localSheetId="0">AU!$A$1:$Z$76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0" i="54" l="1"/>
  <c r="Z61" i="54"/>
  <c r="Z62" i="54"/>
  <c r="Z63" i="54"/>
  <c r="Z64" i="54"/>
  <c r="Z65" i="54"/>
  <c r="Z66" i="54"/>
  <c r="Z67" i="54"/>
  <c r="Z68" i="54"/>
  <c r="Z69" i="54"/>
  <c r="Z70" i="54"/>
  <c r="Z71" i="54"/>
  <c r="Z72" i="54"/>
  <c r="Z73" i="54"/>
  <c r="Z74" i="54"/>
  <c r="Z59" i="54"/>
  <c r="Z39" i="54"/>
  <c r="X39" i="54" s="1"/>
  <c r="Z44" i="54"/>
  <c r="X44" i="54" s="1"/>
  <c r="Z51" i="54"/>
  <c r="X51" i="54" s="1"/>
  <c r="Z56" i="54"/>
  <c r="X56" i="54" s="1"/>
  <c r="W34" i="54"/>
  <c r="Z34" i="54" s="1"/>
  <c r="X34" i="54" s="1"/>
  <c r="W35" i="54"/>
  <c r="Z35" i="54" s="1"/>
  <c r="X35" i="54" s="1"/>
  <c r="W36" i="54"/>
  <c r="Z36" i="54" s="1"/>
  <c r="X36" i="54" s="1"/>
  <c r="W37" i="54"/>
  <c r="Z37" i="54" s="1"/>
  <c r="X37" i="54" s="1"/>
  <c r="W38" i="54"/>
  <c r="Z38" i="54" s="1"/>
  <c r="X38" i="54" s="1"/>
  <c r="W39" i="54"/>
  <c r="W40" i="54"/>
  <c r="Z40" i="54" s="1"/>
  <c r="X40" i="54" s="1"/>
  <c r="W41" i="54"/>
  <c r="Z41" i="54" s="1"/>
  <c r="X41" i="54" s="1"/>
  <c r="W42" i="54"/>
  <c r="Z42" i="54" s="1"/>
  <c r="X42" i="54" s="1"/>
  <c r="W43" i="54"/>
  <c r="Z43" i="54" s="1"/>
  <c r="X43" i="54" s="1"/>
  <c r="W44" i="54"/>
  <c r="W45" i="54"/>
  <c r="Z45" i="54" s="1"/>
  <c r="X45" i="54" s="1"/>
  <c r="W46" i="54"/>
  <c r="Z46" i="54" s="1"/>
  <c r="X46" i="54" s="1"/>
  <c r="W47" i="54"/>
  <c r="Z47" i="54" s="1"/>
  <c r="X47" i="54" s="1"/>
  <c r="W48" i="54"/>
  <c r="Z48" i="54" s="1"/>
  <c r="X48" i="54" s="1"/>
  <c r="W49" i="54"/>
  <c r="Z49" i="54" s="1"/>
  <c r="X49" i="54" s="1"/>
  <c r="W50" i="54"/>
  <c r="Z50" i="54" s="1"/>
  <c r="X50" i="54" s="1"/>
  <c r="W51" i="54"/>
  <c r="W52" i="54"/>
  <c r="Z52" i="54" s="1"/>
  <c r="X52" i="54" s="1"/>
  <c r="W53" i="54"/>
  <c r="Z53" i="54" s="1"/>
  <c r="X53" i="54" s="1"/>
  <c r="W54" i="54"/>
  <c r="Z54" i="54" s="1"/>
  <c r="X54" i="54" s="1"/>
  <c r="W55" i="54"/>
  <c r="Z55" i="54" s="1"/>
  <c r="X55" i="54" s="1"/>
  <c r="W56" i="54"/>
  <c r="W57" i="54"/>
  <c r="Z57" i="54" s="1"/>
  <c r="X57" i="54" s="1"/>
  <c r="W58" i="54"/>
  <c r="Z58" i="54" s="1"/>
  <c r="X58" i="54" s="1"/>
  <c r="V76" i="54" l="1"/>
  <c r="W74" i="54"/>
  <c r="X74" i="54" s="1"/>
  <c r="W73" i="54"/>
  <c r="X73" i="54" s="1"/>
  <c r="W72" i="54"/>
  <c r="X72" i="54" s="1"/>
  <c r="W71" i="54"/>
  <c r="X71" i="54" s="1"/>
  <c r="W70" i="54"/>
  <c r="X70" i="54" s="1"/>
  <c r="W69" i="54"/>
  <c r="X69" i="54" s="1"/>
  <c r="W68" i="54"/>
  <c r="X68" i="54" s="1"/>
  <c r="W67" i="54"/>
  <c r="X67" i="54" s="1"/>
  <c r="W66" i="54"/>
  <c r="X66" i="54" s="1"/>
  <c r="W65" i="54"/>
  <c r="X65" i="54" s="1"/>
  <c r="W64" i="54"/>
  <c r="X64" i="54" s="1"/>
  <c r="W63" i="54"/>
  <c r="X63" i="54" s="1"/>
  <c r="W62" i="54"/>
  <c r="X62" i="54" s="1"/>
  <c r="W61" i="54"/>
  <c r="X61" i="54" s="1"/>
  <c r="W60" i="54"/>
  <c r="X60" i="54" s="1"/>
  <c r="W59" i="54"/>
  <c r="X59" i="54" s="1"/>
  <c r="W33" i="54"/>
  <c r="W32" i="54"/>
  <c r="Z32" i="54" s="1"/>
  <c r="X32" i="54" s="1"/>
  <c r="W31" i="54"/>
  <c r="W30" i="54"/>
  <c r="Z30" i="54" s="1"/>
  <c r="X30" i="54" s="1"/>
  <c r="W29" i="54"/>
  <c r="W28" i="54"/>
  <c r="W27" i="54"/>
  <c r="Z27" i="54" s="1"/>
  <c r="X27" i="54" s="1"/>
  <c r="Y23" i="54"/>
  <c r="Y22" i="54"/>
  <c r="Y21" i="54"/>
  <c r="Y20" i="54"/>
  <c r="C11" i="54"/>
  <c r="C10" i="54"/>
  <c r="C9" i="54"/>
  <c r="W76" i="54" l="1"/>
  <c r="Z31" i="54"/>
  <c r="Z28" i="54"/>
  <c r="Z29" i="54"/>
  <c r="X29" i="54" s="1"/>
  <c r="Z33" i="54"/>
  <c r="X33" i="54" s="1"/>
  <c r="AA59" i="54"/>
  <c r="AA27" i="54"/>
  <c r="Z20" i="54" s="1"/>
  <c r="X31" i="54"/>
  <c r="Y24" i="54"/>
  <c r="Z76" i="54" l="1"/>
  <c r="X28" i="54"/>
  <c r="AA29" i="54"/>
  <c r="Z22" i="54" s="1"/>
  <c r="AA28" i="54" l="1"/>
  <c r="Z21" i="54" s="1"/>
  <c r="Z24" i="54" s="1"/>
  <c r="X76" i="54"/>
</calcChain>
</file>

<file path=xl/sharedStrings.xml><?xml version="1.0" encoding="utf-8"?>
<sst xmlns="http://schemas.openxmlformats.org/spreadsheetml/2006/main" count="337" uniqueCount="141">
  <si>
    <t>NEW WELLS INTERNATIONAL LIMITED</t>
  </si>
  <si>
    <t>5F, Block E xinghai business center ,#99 North  Jinling  Rd, CZ, JS,China</t>
  </si>
  <si>
    <t>From:</t>
  </si>
  <si>
    <t>VENDOR NAME</t>
  </si>
  <si>
    <t>VENDOR ADDRESS</t>
  </si>
  <si>
    <t>Bill To:</t>
  </si>
  <si>
    <t>City Chic Collective Limited</t>
  </si>
  <si>
    <t>151 - 163 Wyndham Street</t>
  </si>
  <si>
    <t>Alexandria NSW 2015</t>
  </si>
  <si>
    <t>Australia</t>
  </si>
  <si>
    <t>PO Number</t>
  </si>
  <si>
    <t>HS Code</t>
  </si>
  <si>
    <t>Brand</t>
  </si>
  <si>
    <t>CITY CHIC</t>
  </si>
  <si>
    <t>Commercial Invoice No.</t>
  </si>
  <si>
    <t>B/L No.</t>
  </si>
  <si>
    <t>Notify Party</t>
  </si>
  <si>
    <t>Ligentia Australia Pty Ltd</t>
  </si>
  <si>
    <t>Consignee</t>
  </si>
  <si>
    <t>ETD:</t>
  </si>
  <si>
    <t>55 Kenyon Street</t>
  </si>
  <si>
    <t>VESSEL:</t>
  </si>
  <si>
    <t>Eagle Farm, QLD, 4009, Brisbane</t>
  </si>
  <si>
    <t>VOY NO:</t>
  </si>
  <si>
    <t>Phone +617 3062 7637</t>
  </si>
  <si>
    <t>COUNTRY OF ORIGIN:</t>
  </si>
  <si>
    <t>China</t>
  </si>
  <si>
    <t>COL\SIZE</t>
  </si>
  <si>
    <t>Style Number</t>
  </si>
  <si>
    <t>10/3XS</t>
  </si>
  <si>
    <t>12/2XS</t>
  </si>
  <si>
    <t>14/XS</t>
  </si>
  <si>
    <t>16/S</t>
  </si>
  <si>
    <t>18/M</t>
  </si>
  <si>
    <t>20/L</t>
  </si>
  <si>
    <t>22/XL</t>
  </si>
  <si>
    <t>24/2XL</t>
  </si>
  <si>
    <t>26/3XL</t>
  </si>
  <si>
    <t>28/4XL</t>
  </si>
  <si>
    <t>Total units</t>
  </si>
  <si>
    <t>Total Gross Weight</t>
  </si>
  <si>
    <t>COMPOSITION:</t>
  </si>
  <si>
    <t>DESCRIPTION:</t>
  </si>
  <si>
    <t>PACK CODE</t>
  </si>
  <si>
    <t>UPC</t>
  </si>
  <si>
    <t>Distribution channel</t>
  </si>
  <si>
    <t>CARTON NO.</t>
  </si>
  <si>
    <t>COL/SIZE</t>
  </si>
  <si>
    <t>TOTAL PKS</t>
  </si>
  <si>
    <t>QUANTITY</t>
  </si>
  <si>
    <t>GROSS WEIGHT</t>
  </si>
  <si>
    <t>MEASUREMENT (CM)</t>
  </si>
  <si>
    <t>NET WEIGHT</t>
  </si>
  <si>
    <t>RETAIL</t>
  </si>
  <si>
    <t>1-16</t>
  </si>
  <si>
    <t>17-61</t>
  </si>
  <si>
    <t>REPLEN</t>
  </si>
  <si>
    <t>62</t>
  </si>
  <si>
    <t>63</t>
  </si>
  <si>
    <t>40X35X25CM</t>
  </si>
  <si>
    <t>64</t>
  </si>
  <si>
    <t>65</t>
  </si>
  <si>
    <t>66</t>
  </si>
  <si>
    <t>67</t>
  </si>
  <si>
    <t>68</t>
  </si>
  <si>
    <t>69</t>
  </si>
  <si>
    <t>70</t>
  </si>
  <si>
    <t>71</t>
  </si>
  <si>
    <t>40X35X10CM</t>
  </si>
  <si>
    <t>40X35X35CM</t>
  </si>
  <si>
    <t>72</t>
  </si>
  <si>
    <t>40X35X40CM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</si>
  <si>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</si>
  <si>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</si>
  <si>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</si>
  <si>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</si>
  <si>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</si>
  <si>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</si>
  <si>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</si>
  <si>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</si>
  <si>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</si>
  <si>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</si>
  <si>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</si>
  <si>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</si>
  <si>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</si>
  <si>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</si>
  <si>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</si>
  <si>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</si>
  <si>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</si>
  <si>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</si>
  <si>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</si>
  <si>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</si>
  <si>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</si>
  <si>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</si>
  <si>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</si>
  <si>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</si>
  <si>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</si>
  <si>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</si>
  <si>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NWCC25033</t>
    <phoneticPr fontId="65" type="noConversion"/>
  </si>
  <si>
    <t>001095485-1</t>
    <phoneticPr fontId="65" type="noConversion"/>
  </si>
  <si>
    <t>OUTER:82%VISCOSE 18%LINEN INING:100%VISCOSE</t>
    <phoneticPr fontId="65" type="noConversion"/>
  </si>
  <si>
    <t>00226272</t>
    <phoneticPr fontId="65" type="noConversion"/>
  </si>
  <si>
    <t>DRESS LAURENA PRT</t>
    <phoneticPr fontId="65" type="noConversion"/>
  </si>
  <si>
    <t>SARDINIA</t>
    <phoneticPr fontId="65" type="noConversion"/>
  </si>
  <si>
    <t>001095485-2</t>
  </si>
  <si>
    <t>001095485-3</t>
  </si>
  <si>
    <t>001095487-1</t>
    <phoneticPr fontId="65" type="noConversion"/>
  </si>
  <si>
    <t>00226273</t>
    <phoneticPr fontId="65" type="noConversion"/>
  </si>
  <si>
    <t>DRESS LAURENA MINI PRT</t>
    <phoneticPr fontId="65" type="noConversion"/>
  </si>
  <si>
    <t>2025.12.02</t>
    <phoneticPr fontId="65" type="noConversion"/>
  </si>
  <si>
    <t>6204440000</t>
    <phoneticPr fontId="65" type="noConversion"/>
  </si>
  <si>
    <t>002262720101</t>
    <phoneticPr fontId="66" type="noConversion"/>
  </si>
  <si>
    <t>002262720102</t>
    <phoneticPr fontId="66" type="noConversion"/>
  </si>
  <si>
    <t>001095485-3</t>
    <phoneticPr fontId="65" type="noConversion"/>
  </si>
  <si>
    <t xml:space="preserve">9361186670984       </t>
  </si>
  <si>
    <t xml:space="preserve">9361186670991       </t>
  </si>
  <si>
    <t xml:space="preserve">9361186671004       </t>
  </si>
  <si>
    <t xml:space="preserve">9361186671011       </t>
  </si>
  <si>
    <t xml:space="preserve">9361186671028       </t>
  </si>
  <si>
    <t xml:space="preserve">9361186671035       </t>
  </si>
  <si>
    <t xml:space="preserve">9361186671042       </t>
  </si>
  <si>
    <t xml:space="preserve">9361186671059       </t>
  </si>
  <si>
    <t xml:space="preserve">9361186671066       </t>
  </si>
  <si>
    <t>86</t>
  </si>
  <si>
    <t>87</t>
  </si>
  <si>
    <t>88</t>
  </si>
  <si>
    <t>89</t>
  </si>
  <si>
    <t>90</t>
  </si>
  <si>
    <t>91</t>
  </si>
  <si>
    <t xml:space="preserve">9361186671073       </t>
  </si>
  <si>
    <t xml:space="preserve">9361186671080       </t>
  </si>
  <si>
    <t xml:space="preserve">9361186671097       </t>
  </si>
  <si>
    <t xml:space="preserve">9361186671103       </t>
  </si>
  <si>
    <t xml:space="preserve">9361186671110       </t>
  </si>
  <si>
    <t xml:space="preserve">9361186671127       </t>
  </si>
  <si>
    <t xml:space="preserve">9361186671134       </t>
  </si>
  <si>
    <t xml:space="preserve">9361186671141       </t>
  </si>
  <si>
    <t xml:space="preserve">9361186671158       </t>
  </si>
  <si>
    <t>1</t>
    <phoneticPr fontId="65" type="noConversion"/>
  </si>
  <si>
    <t>2</t>
    <phoneticPr fontId="65" type="noConversion"/>
  </si>
  <si>
    <t>3</t>
    <phoneticPr fontId="6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</si>
</sst>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76" formatCode="[$$-409]#,##0.00"/>
    <numFmt numFmtId="177" formatCode="[$-409]d/mmm/yy;@"/>
    <numFmt numFmtId="178" formatCode="_-* #,##0.00_-;\-* #,##0.00_-;_-* &quot;-&quot;??_-;_-@_-"/>
    <numFmt numFmtId="179" formatCode="_-&quot;$&quot;* #,##0.00_-;\-&quot;$&quot;* #,##0.00_-;_-&quot;$&quot;* &quot;-&quot;??_-;_-@_-"/>
    <numFmt numFmtId="180" formatCode="_ \¥* #,##0.00_ ;_ \¥* \-#,##0.00_ ;_ \¥* &quot;-&quot;??_ ;_ @_ "/>
    <numFmt numFmtId="181" formatCode="0_);[Red]\(0\)"/>
    <numFmt numFmtId="182" formatCode="[$-409]dd/mmm/yy;@"/>
    <numFmt numFmtId="183" formatCode="0.00_);[Red]\(0.00\)"/>
    <numFmt numFmtId="184" formatCode="0_ "/>
    <numFmt numFmtId="185" formatCode="0.00_ "/>
    <numFmt numFmtId="186" formatCode="0.000_ "/>
  </numFmts>
  <fonts count="68">
    <font>
      <u/>
      <sz val="12"/>
      <color indexed="12"/>
      <name val="宋体"/>
      <charset val="134"/>
    </font>
    <font>
      <u/>
      <sz val="11"/>
      <color indexed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8"/>
      <name val="Arial"/>
      <family val="2"/>
    </font>
    <font>
      <sz val="14"/>
      <name val="Arial"/>
      <family val="2"/>
    </font>
    <font>
      <u/>
      <sz val="12"/>
      <color theme="10"/>
      <name val="宋体"/>
      <family val="3"/>
      <charset val="134"/>
      <scheme val="minor"/>
    </font>
    <font>
      <sz val="1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 "/>
      <charset val="134"/>
    </font>
    <font>
      <b/>
      <sz val="10"/>
      <name val="Arial Narrow"/>
      <family val="2"/>
    </font>
    <font>
      <b/>
      <sz val="11"/>
      <name val="Arial Narrow"/>
      <family val="2"/>
    </font>
    <font>
      <b/>
      <sz val="11"/>
      <color indexed="8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2"/>
      <name val="Arial Narrow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</font>
    <font>
      <sz val="11"/>
      <color indexed="62"/>
      <name val="Calibri"/>
      <family val="2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u/>
      <sz val="12"/>
      <color indexed="12"/>
      <name val="新細明體"/>
      <charset val="134"/>
    </font>
    <font>
      <u/>
      <sz val="11"/>
      <color theme="10"/>
      <name val="宋体"/>
      <family val="3"/>
      <charset val="134"/>
      <scheme val="minor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宋体"/>
      <family val="3"/>
      <charset val="134"/>
    </font>
    <font>
      <sz val="11"/>
      <name val="ＭＳ Ｐゴシック"/>
      <charset val="128"/>
    </font>
    <font>
      <sz val="11"/>
      <color rgb="FF000000"/>
      <name val="宋体"/>
      <family val="3"/>
      <charset val="134"/>
      <scheme val="minor"/>
    </font>
    <font>
      <sz val="11"/>
      <color theme="1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新細明體"/>
      <charset val="134"/>
    </font>
    <font>
      <u/>
      <sz val="12"/>
      <color indexed="12"/>
      <name val="宋体"/>
      <family val="3"/>
      <charset val="134"/>
    </font>
    <font>
      <u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</borders>
  <cellStyleXfs count="127">
    <xf numFmtId="176" fontId="0" fillId="0" borderId="0"/>
    <xf numFmtId="0" fontId="21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2" fillId="5" borderId="0" applyNumberFormat="0" applyBorder="0" applyAlignment="0" applyProtection="0"/>
    <xf numFmtId="0" fontId="23" fillId="0" borderId="0"/>
    <xf numFmtId="0" fontId="24" fillId="6" borderId="0" applyNumberFormat="0" applyBorder="0" applyAlignment="0" applyProtection="0">
      <alignment vertical="center"/>
    </xf>
    <xf numFmtId="177" fontId="24" fillId="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19" fillId="0" borderId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177" fontId="24" fillId="10" borderId="0" applyNumberFormat="0" applyBorder="0" applyAlignment="0" applyProtection="0">
      <alignment vertical="center"/>
    </xf>
    <xf numFmtId="177" fontId="24" fillId="9" borderId="0" applyNumberFormat="0" applyBorder="0" applyAlignment="0" applyProtection="0">
      <alignment vertical="center"/>
    </xf>
    <xf numFmtId="177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177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177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177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7" fillId="7" borderId="0" applyNumberFormat="0" applyBorder="0" applyAlignment="0" applyProtection="0"/>
    <xf numFmtId="0" fontId="28" fillId="17" borderId="21" applyNumberFormat="0" applyAlignment="0" applyProtection="0"/>
    <xf numFmtId="0" fontId="29" fillId="18" borderId="22" applyNumberFormat="0" applyAlignment="0" applyProtection="0"/>
    <xf numFmtId="178" fontId="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1" fillId="0" borderId="0"/>
    <xf numFmtId="180" fontId="2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32" fillId="19" borderId="0" applyNumberFormat="0" applyBorder="0" applyAlignment="0" applyProtection="0"/>
    <xf numFmtId="0" fontId="33" fillId="0" borderId="23" applyNumberFormat="0" applyFill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center"/>
    </xf>
    <xf numFmtId="0" fontId="2" fillId="0" borderId="0"/>
    <xf numFmtId="0" fontId="35" fillId="0" borderId="0" applyNumberFormat="0" applyFill="0" applyBorder="0" applyAlignment="0" applyProtection="0"/>
    <xf numFmtId="0" fontId="36" fillId="0" borderId="24" applyNumberFormat="0" applyFill="0" applyAlignment="0" applyProtection="0"/>
    <xf numFmtId="0" fontId="37" fillId="20" borderId="0" applyNumberFormat="0" applyBorder="0" applyAlignment="0" applyProtection="0"/>
    <xf numFmtId="176" fontId="38" fillId="0" borderId="0"/>
    <xf numFmtId="0" fontId="30" fillId="0" borderId="0"/>
    <xf numFmtId="176" fontId="38" fillId="0" borderId="0"/>
    <xf numFmtId="177" fontId="38" fillId="0" borderId="0"/>
    <xf numFmtId="176" fontId="38" fillId="0" borderId="0"/>
    <xf numFmtId="0" fontId="38" fillId="0" borderId="0"/>
    <xf numFmtId="176" fontId="38" fillId="0" borderId="0"/>
    <xf numFmtId="0" fontId="2" fillId="0" borderId="0"/>
    <xf numFmtId="0" fontId="2" fillId="0" borderId="0"/>
    <xf numFmtId="0" fontId="39" fillId="0" borderId="0">
      <alignment vertical="center"/>
    </xf>
    <xf numFmtId="0" fontId="40" fillId="0" borderId="0"/>
    <xf numFmtId="0" fontId="41" fillId="0" borderId="0"/>
    <xf numFmtId="0" fontId="38" fillId="0" borderId="0">
      <alignment vertical="center"/>
    </xf>
    <xf numFmtId="176" fontId="2" fillId="0" borderId="0"/>
    <xf numFmtId="0" fontId="38" fillId="21" borderId="25" applyNumberFormat="0" applyFont="0" applyAlignment="0" applyProtection="0"/>
    <xf numFmtId="0" fontId="42" fillId="17" borderId="26" applyNumberFormat="0" applyAlignment="0" applyProtection="0"/>
    <xf numFmtId="9" fontId="30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27" applyNumberFormat="0" applyFill="0" applyAlignment="0" applyProtection="0"/>
    <xf numFmtId="0" fontId="45" fillId="0" borderId="0" applyNumberFormat="0" applyFill="0" applyBorder="0" applyAlignment="0" applyProtection="0"/>
    <xf numFmtId="0" fontId="46" fillId="0" borderId="23" applyNumberFormat="0" applyFill="0" applyAlignment="0" applyProtection="0">
      <alignment vertical="center"/>
    </xf>
    <xf numFmtId="177" fontId="46" fillId="0" borderId="23" applyNumberFormat="0" applyFill="0" applyAlignment="0" applyProtection="0">
      <alignment vertical="center"/>
    </xf>
    <xf numFmtId="0" fontId="47" fillId="0" borderId="28" applyNumberFormat="0" applyFill="0" applyAlignment="0" applyProtection="0">
      <alignment vertical="center"/>
    </xf>
    <xf numFmtId="177" fontId="47" fillId="0" borderId="28" applyNumberFormat="0" applyFill="0" applyAlignment="0" applyProtection="0">
      <alignment vertical="center"/>
    </xf>
    <xf numFmtId="0" fontId="48" fillId="0" borderId="29" applyNumberFormat="0" applyFill="0" applyAlignment="0" applyProtection="0">
      <alignment vertical="center"/>
    </xf>
    <xf numFmtId="177" fontId="48" fillId="0" borderId="29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77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177" fontId="49" fillId="0" borderId="0" applyNumberFormat="0" applyFill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177" fontId="50" fillId="7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177" fontId="24" fillId="0" borderId="0">
      <alignment vertical="center"/>
    </xf>
    <xf numFmtId="181" fontId="24" fillId="0" borderId="0">
      <alignment vertical="center"/>
    </xf>
    <xf numFmtId="0" fontId="24" fillId="0" borderId="0">
      <alignment vertical="center"/>
    </xf>
    <xf numFmtId="179" fontId="24" fillId="0" borderId="0">
      <alignment vertical="center"/>
    </xf>
    <xf numFmtId="0" fontId="2" fillId="0" borderId="0">
      <alignment vertical="center"/>
    </xf>
    <xf numFmtId="0" fontId="24" fillId="0" borderId="0"/>
    <xf numFmtId="177" fontId="24" fillId="0" borderId="0"/>
    <xf numFmtId="0" fontId="40" fillId="0" borderId="0"/>
    <xf numFmtId="0" fontId="40" fillId="0" borderId="0"/>
    <xf numFmtId="0" fontId="38" fillId="0" borderId="0"/>
    <xf numFmtId="0" fontId="2" fillId="0" borderId="0">
      <alignment vertical="center"/>
    </xf>
    <xf numFmtId="0" fontId="2" fillId="0" borderId="0">
      <alignment vertical="center"/>
    </xf>
    <xf numFmtId="0" fontId="30" fillId="0" borderId="0"/>
    <xf numFmtId="0" fontId="38" fillId="0" borderId="0"/>
    <xf numFmtId="0" fontId="38" fillId="0" borderId="0"/>
    <xf numFmtId="176" fontId="64" fillId="0" borderId="0"/>
    <xf numFmtId="0" fontId="52" fillId="0" borderId="0" applyNumberFormat="0" applyFill="0" applyBorder="0" applyAlignment="0" applyProtection="0">
      <alignment vertical="top"/>
      <protection locked="0"/>
    </xf>
    <xf numFmtId="0" fontId="53" fillId="19" borderId="0" applyNumberFormat="0" applyBorder="0" applyAlignment="0" applyProtection="0">
      <alignment vertical="center"/>
    </xf>
    <xf numFmtId="177" fontId="53" fillId="19" borderId="0" applyNumberFormat="0" applyBorder="0" applyAlignment="0" applyProtection="0">
      <alignment vertical="center"/>
    </xf>
    <xf numFmtId="0" fontId="54" fillId="0" borderId="27" applyNumberFormat="0" applyFill="0" applyAlignment="0" applyProtection="0">
      <alignment vertical="center"/>
    </xf>
    <xf numFmtId="177" fontId="54" fillId="0" borderId="27" applyNumberFormat="0" applyFill="0" applyAlignment="0" applyProtection="0">
      <alignment vertical="center"/>
    </xf>
    <xf numFmtId="179" fontId="40" fillId="0" borderId="0" applyFont="0" applyFill="0" applyBorder="0" applyAlignment="0" applyProtection="0"/>
    <xf numFmtId="177" fontId="55" fillId="17" borderId="21" applyNumberFormat="0" applyAlignment="0" applyProtection="0">
      <alignment vertical="center"/>
    </xf>
    <xf numFmtId="0" fontId="55" fillId="17" borderId="21" applyNumberFormat="0" applyAlignment="0" applyProtection="0">
      <alignment vertical="center"/>
    </xf>
    <xf numFmtId="0" fontId="56" fillId="18" borderId="22" applyNumberFormat="0" applyAlignment="0" applyProtection="0">
      <alignment vertical="center"/>
    </xf>
    <xf numFmtId="177" fontId="56" fillId="18" borderId="22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177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177" fontId="58" fillId="0" borderId="0" applyNumberFormat="0" applyFill="0" applyBorder="0" applyAlignment="0" applyProtection="0">
      <alignment vertical="center"/>
    </xf>
    <xf numFmtId="0" fontId="59" fillId="0" borderId="24" applyNumberFormat="0" applyFill="0" applyAlignment="0" applyProtection="0">
      <alignment vertical="center"/>
    </xf>
    <xf numFmtId="177" fontId="59" fillId="0" borderId="24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177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177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177" fontId="25" fillId="1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177" fontId="25" fillId="22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177" fontId="60" fillId="20" borderId="0" applyNumberFormat="0" applyBorder="0" applyAlignment="0" applyProtection="0">
      <alignment vertical="center"/>
    </xf>
    <xf numFmtId="0" fontId="61" fillId="17" borderId="26" applyNumberFormat="0" applyAlignment="0" applyProtection="0">
      <alignment vertical="center"/>
    </xf>
    <xf numFmtId="177" fontId="61" fillId="17" borderId="26" applyNumberFormat="0" applyAlignment="0" applyProtection="0">
      <alignment vertical="center"/>
    </xf>
    <xf numFmtId="0" fontId="62" fillId="23" borderId="21" applyNumberFormat="0" applyAlignment="0" applyProtection="0">
      <alignment vertical="center"/>
    </xf>
    <xf numFmtId="177" fontId="62" fillId="23" borderId="21" applyNumberFormat="0" applyAlignment="0" applyProtection="0">
      <alignment vertical="center"/>
    </xf>
    <xf numFmtId="0" fontId="63" fillId="0" borderId="0"/>
    <xf numFmtId="0" fontId="24" fillId="21" borderId="25" applyNumberFormat="0" applyFont="0" applyAlignment="0" applyProtection="0">
      <alignment vertical="center"/>
    </xf>
    <xf numFmtId="177" fontId="24" fillId="21" borderId="25" applyNumberFormat="0" applyFont="0" applyAlignment="0" applyProtection="0">
      <alignment vertical="center"/>
    </xf>
  </cellStyleXfs>
  <cellXfs count="146">
    <xf numFmtId="176" fontId="0" fillId="0" borderId="0" xfId="0"/>
    <xf numFmtId="176" fontId="1" fillId="2" borderId="0" xfId="93" applyFont="1" applyFill="1"/>
    <xf numFmtId="0" fontId="2" fillId="2" borderId="0" xfId="89" applyFill="1">
      <alignment vertical="center"/>
    </xf>
    <xf numFmtId="176" fontId="64" fillId="2" borderId="0" xfId="93" applyFill="1"/>
    <xf numFmtId="0" fontId="2" fillId="2" borderId="0" xfId="53" applyFill="1"/>
    <xf numFmtId="49" fontId="2" fillId="2" borderId="0" xfId="53" applyNumberFormat="1" applyFill="1"/>
    <xf numFmtId="0" fontId="2" fillId="2" borderId="0" xfId="53" applyFill="1" applyAlignment="1">
      <alignment horizontal="center"/>
    </xf>
    <xf numFmtId="0" fontId="2" fillId="2" borderId="0" xfId="53" applyFill="1" applyAlignment="1">
      <alignment vertical="center"/>
    </xf>
    <xf numFmtId="0" fontId="7" fillId="2" borderId="1" xfId="53" applyFont="1" applyFill="1" applyBorder="1"/>
    <xf numFmtId="49" fontId="7" fillId="2" borderId="2" xfId="53" applyNumberFormat="1" applyFont="1" applyFill="1" applyBorder="1"/>
    <xf numFmtId="0" fontId="7" fillId="2" borderId="3" xfId="53" applyFont="1" applyFill="1" applyBorder="1"/>
    <xf numFmtId="0" fontId="7" fillId="2" borderId="6" xfId="53" applyFont="1" applyFill="1" applyBorder="1" applyAlignment="1">
      <alignment horizontal="left"/>
    </xf>
    <xf numFmtId="0" fontId="7" fillId="2" borderId="7" xfId="53" applyFont="1" applyFill="1" applyBorder="1" applyAlignment="1">
      <alignment horizontal="left"/>
    </xf>
    <xf numFmtId="49" fontId="7" fillId="2" borderId="8" xfId="53" applyNumberFormat="1" applyFont="1" applyFill="1" applyBorder="1" applyAlignment="1">
      <alignment horizontal="left"/>
    </xf>
    <xf numFmtId="49" fontId="8" fillId="2" borderId="7" xfId="45" applyNumberFormat="1" applyFont="1" applyFill="1" applyBorder="1" applyAlignment="1" applyProtection="1">
      <alignment horizontal="left" vertical="center"/>
      <protection locked="0"/>
    </xf>
    <xf numFmtId="176" fontId="8" fillId="2" borderId="8" xfId="45" applyFont="1" applyFill="1" applyBorder="1" applyAlignment="1" applyProtection="1">
      <alignment horizontal="left" vertical="center"/>
      <protection locked="0"/>
    </xf>
    <xf numFmtId="0" fontId="9" fillId="2" borderId="7" xfId="50" applyFont="1" applyFill="1" applyBorder="1" applyAlignment="1">
      <alignment horizontal="left" vertical="center"/>
    </xf>
    <xf numFmtId="49" fontId="9" fillId="2" borderId="8" xfId="50" applyNumberFormat="1" applyFont="1" applyFill="1" applyBorder="1" applyAlignment="1">
      <alignment horizontal="left" vertical="center"/>
    </xf>
    <xf numFmtId="0" fontId="9" fillId="2" borderId="8" xfId="50" applyFont="1" applyFill="1" applyBorder="1" applyAlignment="1">
      <alignment horizontal="left" vertical="center"/>
    </xf>
    <xf numFmtId="0" fontId="10" fillId="2" borderId="9" xfId="53" applyFont="1" applyFill="1" applyBorder="1"/>
    <xf numFmtId="49" fontId="8" fillId="2" borderId="10" xfId="45" applyNumberFormat="1" applyFont="1" applyFill="1" applyBorder="1" applyAlignment="1" applyProtection="1">
      <alignment horizontal="left" vertical="center"/>
      <protection locked="0"/>
    </xf>
    <xf numFmtId="176" fontId="8" fillId="2" borderId="0" xfId="45" applyFont="1" applyFill="1" applyAlignment="1" applyProtection="1">
      <alignment horizontal="left" vertical="center"/>
      <protection locked="0"/>
    </xf>
    <xf numFmtId="0" fontId="8" fillId="2" borderId="10" xfId="50" applyFont="1" applyFill="1" applyBorder="1" applyAlignment="1" applyProtection="1">
      <alignment horizontal="left" vertical="center"/>
      <protection locked="0"/>
    </xf>
    <xf numFmtId="49" fontId="11" fillId="2" borderId="0" xfId="50" applyNumberFormat="1" applyFont="1" applyFill="1" applyAlignment="1" applyProtection="1">
      <alignment horizontal="left" vertical="center"/>
      <protection locked="0"/>
    </xf>
    <xf numFmtId="0" fontId="9" fillId="2" borderId="0" xfId="50" applyFont="1" applyFill="1" applyAlignment="1" applyProtection="1">
      <alignment horizontal="left" vertical="center"/>
      <protection locked="0"/>
    </xf>
    <xf numFmtId="0" fontId="9" fillId="2" borderId="0" xfId="50" applyFont="1" applyFill="1" applyAlignment="1">
      <alignment horizontal="left" vertical="center"/>
    </xf>
    <xf numFmtId="49" fontId="9" fillId="2" borderId="0" xfId="50" applyNumberFormat="1" applyFont="1" applyFill="1" applyAlignment="1">
      <alignment horizontal="left" vertical="center"/>
    </xf>
    <xf numFmtId="0" fontId="2" fillId="2" borderId="11" xfId="53" applyFill="1" applyBorder="1"/>
    <xf numFmtId="49" fontId="9" fillId="2" borderId="0" xfId="50" applyNumberFormat="1" applyFont="1" applyFill="1" applyAlignment="1" applyProtection="1">
      <alignment horizontal="left" vertical="center"/>
      <protection locked="0"/>
    </xf>
    <xf numFmtId="49" fontId="8" fillId="2" borderId="12" xfId="45" applyNumberFormat="1" applyFont="1" applyFill="1" applyBorder="1" applyAlignment="1" applyProtection="1">
      <alignment horizontal="left" vertical="center"/>
      <protection locked="0"/>
    </xf>
    <xf numFmtId="176" fontId="8" fillId="2" borderId="13" xfId="45" applyFont="1" applyFill="1" applyBorder="1" applyAlignment="1" applyProtection="1">
      <alignment horizontal="left" vertical="center"/>
      <protection locked="0"/>
    </xf>
    <xf numFmtId="0" fontId="8" fillId="2" borderId="12" xfId="50" applyFont="1" applyFill="1" applyBorder="1" applyAlignment="1" applyProtection="1">
      <alignment horizontal="left" vertical="center"/>
      <protection locked="0"/>
    </xf>
    <xf numFmtId="49" fontId="9" fillId="2" borderId="13" xfId="50" applyNumberFormat="1" applyFont="1" applyFill="1" applyBorder="1" applyAlignment="1" applyProtection="1">
      <alignment horizontal="left" vertical="center"/>
      <protection locked="0"/>
    </xf>
    <xf numFmtId="0" fontId="9" fillId="2" borderId="13" xfId="50" applyFont="1" applyFill="1" applyBorder="1" applyAlignment="1" applyProtection="1">
      <alignment horizontal="left" vertical="center"/>
      <protection locked="0"/>
    </xf>
    <xf numFmtId="0" fontId="9" fillId="2" borderId="13" xfId="50" applyFont="1" applyFill="1" applyBorder="1" applyAlignment="1">
      <alignment horizontal="left" vertical="center"/>
    </xf>
    <xf numFmtId="49" fontId="9" fillId="2" borderId="13" xfId="50" applyNumberFormat="1" applyFont="1" applyFill="1" applyBorder="1" applyAlignment="1">
      <alignment horizontal="left" vertical="center"/>
    </xf>
    <xf numFmtId="0" fontId="8" fillId="2" borderId="14" xfId="87" applyFont="1" applyFill="1" applyBorder="1" applyAlignment="1">
      <alignment horizontal="center" vertical="center"/>
    </xf>
    <xf numFmtId="0" fontId="8" fillId="2" borderId="0" xfId="87" applyFont="1" applyFill="1" applyAlignment="1">
      <alignment horizontal="left" vertical="center"/>
    </xf>
    <xf numFmtId="49" fontId="8" fillId="2" borderId="0" xfId="45" applyNumberFormat="1" applyFont="1" applyFill="1" applyAlignment="1" applyProtection="1">
      <alignment horizontal="left" vertical="center"/>
      <protection locked="0"/>
    </xf>
    <xf numFmtId="0" fontId="2" fillId="2" borderId="0" xfId="88" applyFill="1" applyAlignment="1"/>
    <xf numFmtId="0" fontId="8" fillId="2" borderId="0" xfId="45" applyNumberFormat="1" applyFont="1" applyFill="1" applyAlignment="1" applyProtection="1">
      <alignment horizontal="left" vertical="center"/>
      <protection locked="0"/>
    </xf>
    <xf numFmtId="0" fontId="8" fillId="2" borderId="0" xfId="50" applyFont="1" applyFill="1" applyAlignment="1" applyProtection="1">
      <alignment horizontal="left" vertical="center"/>
      <protection locked="0"/>
    </xf>
    <xf numFmtId="0" fontId="8" fillId="2" borderId="0" xfId="91" applyFont="1" applyFill="1" applyAlignment="1">
      <alignment horizontal="left" vertical="center"/>
    </xf>
    <xf numFmtId="49" fontId="8" fillId="2" borderId="0" xfId="87" applyNumberFormat="1" applyFont="1" applyFill="1" applyAlignment="1">
      <alignment horizontal="left" vertical="center"/>
    </xf>
    <xf numFmtId="0" fontId="8" fillId="2" borderId="0" xfId="87" applyFont="1" applyFill="1" applyAlignment="1">
      <alignment horizontal="center" vertical="center"/>
    </xf>
    <xf numFmtId="176" fontId="8" fillId="2" borderId="7" xfId="45" applyFont="1" applyFill="1" applyBorder="1" applyAlignment="1" applyProtection="1">
      <alignment horizontal="left" vertical="center"/>
      <protection locked="0"/>
    </xf>
    <xf numFmtId="176" fontId="12" fillId="2" borderId="9" xfId="0" applyFont="1" applyFill="1" applyBorder="1"/>
    <xf numFmtId="176" fontId="12" fillId="2" borderId="8" xfId="0" applyFont="1" applyFill="1" applyBorder="1"/>
    <xf numFmtId="0" fontId="8" fillId="2" borderId="8" xfId="91" applyFont="1" applyFill="1" applyBorder="1" applyAlignment="1">
      <alignment horizontal="left" vertical="center"/>
    </xf>
    <xf numFmtId="176" fontId="64" fillId="2" borderId="9" xfId="93" applyFill="1" applyBorder="1"/>
    <xf numFmtId="176" fontId="8" fillId="2" borderId="10" xfId="45" applyFont="1" applyFill="1" applyBorder="1" applyAlignment="1" applyProtection="1">
      <alignment horizontal="left" vertical="center"/>
      <protection locked="0"/>
    </xf>
    <xf numFmtId="176" fontId="12" fillId="2" borderId="0" xfId="0" applyFont="1" applyFill="1"/>
    <xf numFmtId="176" fontId="64" fillId="2" borderId="11" xfId="93" applyFill="1" applyBorder="1"/>
    <xf numFmtId="176" fontId="12" fillId="2" borderId="11" xfId="0" applyFont="1" applyFill="1" applyBorder="1"/>
    <xf numFmtId="176" fontId="8" fillId="2" borderId="12" xfId="45" applyFont="1" applyFill="1" applyBorder="1" applyAlignment="1" applyProtection="1">
      <alignment horizontal="left" vertical="center"/>
      <protection locked="0"/>
    </xf>
    <xf numFmtId="176" fontId="12" fillId="2" borderId="13" xfId="0" applyFont="1" applyFill="1" applyBorder="1"/>
    <xf numFmtId="0" fontId="8" fillId="2" borderId="13" xfId="87" applyFont="1" applyFill="1" applyBorder="1" applyAlignment="1">
      <alignment horizontal="left" vertical="center"/>
    </xf>
    <xf numFmtId="176" fontId="64" fillId="2" borderId="14" xfId="93" applyFill="1" applyBorder="1"/>
    <xf numFmtId="176" fontId="13" fillId="2" borderId="0" xfId="45" applyFont="1" applyFill="1" applyAlignment="1" applyProtection="1">
      <alignment horizontal="center" vertical="center" wrapText="1"/>
      <protection locked="0"/>
    </xf>
    <xf numFmtId="0" fontId="13" fillId="2" borderId="0" xfId="45" applyNumberFormat="1" applyFont="1" applyFill="1" applyAlignment="1" applyProtection="1">
      <alignment horizontal="center" vertical="center" wrapText="1"/>
      <protection locked="0"/>
    </xf>
    <xf numFmtId="0" fontId="8" fillId="2" borderId="15" xfId="92" applyFont="1" applyFill="1" applyBorder="1" applyAlignment="1">
      <alignment horizontal="center" vertical="center" wrapText="1"/>
    </xf>
    <xf numFmtId="0" fontId="8" fillId="2" borderId="15" xfId="87" applyFont="1" applyFill="1" applyBorder="1" applyAlignment="1">
      <alignment horizontal="center" vertical="center" wrapText="1"/>
    </xf>
    <xf numFmtId="0" fontId="8" fillId="2" borderId="6" xfId="87" applyFont="1" applyFill="1" applyBorder="1" applyAlignment="1">
      <alignment horizontal="center" vertical="center" wrapText="1"/>
    </xf>
    <xf numFmtId="2" fontId="7" fillId="2" borderId="15" xfId="53" applyNumberFormat="1" applyFont="1" applyFill="1" applyBorder="1" applyAlignment="1">
      <alignment horizontal="center" wrapText="1"/>
    </xf>
    <xf numFmtId="176" fontId="14" fillId="2" borderId="0" xfId="45" applyFont="1" applyFill="1" applyAlignment="1" applyProtection="1">
      <alignment horizontal="center" vertical="center" wrapText="1"/>
      <protection locked="0"/>
    </xf>
    <xf numFmtId="0" fontId="14" fillId="2" borderId="0" xfId="45" applyNumberFormat="1" applyFont="1" applyFill="1" applyAlignment="1" applyProtection="1">
      <alignment horizontal="center" vertical="center" wrapText="1"/>
      <protection locked="0"/>
    </xf>
    <xf numFmtId="181" fontId="9" fillId="2" borderId="15" xfId="45" applyNumberFormat="1" applyFont="1" applyFill="1" applyBorder="1" applyAlignment="1" applyProtection="1">
      <alignment horizontal="center" vertical="center" wrapText="1"/>
      <protection locked="0"/>
    </xf>
    <xf numFmtId="49" fontId="9" fillId="2" borderId="15" xfId="45" applyNumberFormat="1" applyFont="1" applyFill="1" applyBorder="1" applyAlignment="1" applyProtection="1">
      <alignment horizontal="center" vertical="center" wrapText="1"/>
      <protection locked="0"/>
    </xf>
    <xf numFmtId="0" fontId="11" fillId="2" borderId="15" xfId="45" applyNumberFormat="1" applyFont="1" applyFill="1" applyBorder="1" applyAlignment="1" applyProtection="1">
      <alignment horizontal="center" vertical="center" wrapText="1"/>
      <protection locked="0"/>
    </xf>
    <xf numFmtId="49" fontId="11" fillId="2" borderId="15" xfId="45" applyNumberFormat="1" applyFont="1" applyFill="1" applyBorder="1" applyAlignment="1" applyProtection="1">
      <alignment horizontal="center" vertical="center" wrapText="1"/>
      <protection locked="0"/>
    </xf>
    <xf numFmtId="0" fontId="11" fillId="2" borderId="15" xfId="87" applyFont="1" applyFill="1" applyBorder="1" applyAlignment="1">
      <alignment horizontal="center" vertical="center" wrapText="1"/>
    </xf>
    <xf numFmtId="184" fontId="15" fillId="2" borderId="15" xfId="53" applyNumberFormat="1" applyFont="1" applyFill="1" applyBorder="1" applyAlignment="1">
      <alignment horizontal="center" wrapText="1"/>
    </xf>
    <xf numFmtId="2" fontId="16" fillId="3" borderId="16" xfId="0" applyNumberFormat="1" applyFont="1" applyFill="1" applyBorder="1" applyAlignment="1">
      <alignment horizontal="center" wrapText="1"/>
    </xf>
    <xf numFmtId="185" fontId="2" fillId="2" borderId="0" xfId="89" applyNumberFormat="1" applyFill="1">
      <alignment vertical="center"/>
    </xf>
    <xf numFmtId="0" fontId="14" fillId="2" borderId="0" xfId="0" applyNumberFormat="1" applyFont="1" applyFill="1" applyAlignment="1" applyProtection="1">
      <alignment horizontal="center" vertical="center"/>
      <protection locked="0"/>
    </xf>
    <xf numFmtId="181" fontId="14" fillId="2" borderId="0" xfId="0" applyNumberFormat="1" applyFont="1" applyFill="1" applyAlignment="1" applyProtection="1">
      <alignment horizontal="center" vertical="center" wrapText="1"/>
      <protection locked="0"/>
    </xf>
    <xf numFmtId="49" fontId="14" fillId="2" borderId="0" xfId="0" applyNumberFormat="1" applyFont="1" applyFill="1" applyAlignment="1" applyProtection="1">
      <alignment horizontal="center" vertical="center"/>
      <protection locked="0"/>
    </xf>
    <xf numFmtId="0" fontId="11" fillId="2" borderId="0" xfId="87" applyFont="1" applyFill="1" applyAlignment="1">
      <alignment horizontal="center" vertical="center" wrapText="1"/>
    </xf>
    <xf numFmtId="184" fontId="11" fillId="2" borderId="0" xfId="87" applyNumberFormat="1" applyFont="1" applyFill="1" applyAlignment="1">
      <alignment horizontal="center" vertical="center" wrapText="1"/>
    </xf>
    <xf numFmtId="2" fontId="15" fillId="2" borderId="0" xfId="53" applyNumberFormat="1" applyFont="1" applyFill="1" applyAlignment="1">
      <alignment horizontal="center" wrapText="1"/>
    </xf>
    <xf numFmtId="0" fontId="1" fillId="2" borderId="0" xfId="93" applyNumberFormat="1" applyFont="1" applyFill="1"/>
    <xf numFmtId="0" fontId="17" fillId="2" borderId="17" xfId="88" applyFont="1" applyFill="1" applyBorder="1" applyAlignment="1">
      <alignment horizontal="center" vertical="center"/>
    </xf>
    <xf numFmtId="49" fontId="9" fillId="2" borderId="9" xfId="87" applyNumberFormat="1" applyFont="1" applyFill="1" applyBorder="1" applyAlignment="1">
      <alignment horizontal="center" vertical="center" wrapText="1"/>
    </xf>
    <xf numFmtId="49" fontId="9" fillId="2" borderId="15" xfId="87" applyNumberFormat="1" applyFont="1" applyFill="1" applyBorder="1" applyAlignment="1">
      <alignment horizontal="center" vertical="center" wrapText="1"/>
    </xf>
    <xf numFmtId="49" fontId="9" fillId="2" borderId="4" xfId="87" applyNumberFormat="1" applyFont="1" applyFill="1" applyBorder="1" applyAlignment="1">
      <alignment horizontal="center" vertical="center" wrapText="1"/>
    </xf>
    <xf numFmtId="49" fontId="9" fillId="2" borderId="7" xfId="87" applyNumberFormat="1" applyFont="1" applyFill="1" applyBorder="1" applyAlignment="1">
      <alignment horizontal="center" vertical="center" wrapText="1"/>
    </xf>
    <xf numFmtId="0" fontId="9" fillId="2" borderId="17" xfId="87" applyFont="1" applyFill="1" applyBorder="1" applyAlignment="1">
      <alignment horizontal="center" vertical="center" wrapText="1"/>
    </xf>
    <xf numFmtId="0" fontId="9" fillId="2" borderId="8" xfId="87" applyFont="1" applyFill="1" applyBorder="1" applyAlignment="1">
      <alignment horizontal="center" vertical="center" wrapText="1"/>
    </xf>
    <xf numFmtId="0" fontId="9" fillId="2" borderId="15" xfId="87" applyFont="1" applyFill="1" applyBorder="1" applyAlignment="1">
      <alignment horizontal="center" vertical="center" wrapText="1"/>
    </xf>
    <xf numFmtId="184" fontId="9" fillId="2" borderId="15" xfId="87" applyNumberFormat="1" applyFont="1" applyFill="1" applyBorder="1" applyAlignment="1">
      <alignment horizontal="center" vertical="center" wrapText="1"/>
    </xf>
    <xf numFmtId="176" fontId="9" fillId="2" borderId="15" xfId="87" applyNumberFormat="1" applyFont="1" applyFill="1" applyBorder="1" applyAlignment="1">
      <alignment horizontal="center" vertical="center" wrapText="1"/>
    </xf>
    <xf numFmtId="49" fontId="16" fillId="2" borderId="15" xfId="85" applyNumberFormat="1" applyFont="1" applyFill="1" applyBorder="1" applyAlignment="1">
      <alignment horizontal="center" vertical="top" wrapText="1" readingOrder="1"/>
    </xf>
    <xf numFmtId="0" fontId="10" fillId="2" borderId="6" xfId="89" applyFont="1" applyFill="1" applyBorder="1" applyAlignment="1">
      <alignment horizontal="center" vertical="center" wrapText="1"/>
    </xf>
    <xf numFmtId="49" fontId="10" fillId="2" borderId="4" xfId="89" applyNumberFormat="1" applyFont="1" applyFill="1" applyBorder="1" applyAlignment="1">
      <alignment horizontal="center" vertical="center" wrapText="1"/>
    </xf>
    <xf numFmtId="0" fontId="10" fillId="2" borderId="15" xfId="89" applyFont="1" applyFill="1" applyBorder="1" applyAlignment="1">
      <alignment horizontal="center" vertical="center" wrapText="1"/>
    </xf>
    <xf numFmtId="49" fontId="10" fillId="2" borderId="15" xfId="89" applyNumberFormat="1" applyFont="1" applyFill="1" applyBorder="1" applyAlignment="1">
      <alignment horizontal="center" vertical="center" wrapText="1"/>
    </xf>
    <xf numFmtId="184" fontId="10" fillId="2" borderId="15" xfId="89" applyNumberFormat="1" applyFont="1" applyFill="1" applyBorder="1" applyAlignment="1">
      <alignment horizontal="center" vertical="center" wrapText="1"/>
    </xf>
    <xf numFmtId="186" fontId="10" fillId="2" borderId="15" xfId="89" applyNumberFormat="1" applyFont="1" applyFill="1" applyBorder="1" applyAlignment="1">
      <alignment horizontal="center" vertical="center" wrapText="1"/>
    </xf>
    <xf numFmtId="186" fontId="2" fillId="2" borderId="0" xfId="89" applyNumberFormat="1" applyFill="1">
      <alignment vertical="center"/>
    </xf>
    <xf numFmtId="0" fontId="10" fillId="2" borderId="19" xfId="89" applyFont="1" applyFill="1" applyBorder="1" applyAlignment="1">
      <alignment horizontal="center" vertical="center" wrapText="1"/>
    </xf>
    <xf numFmtId="176" fontId="16" fillId="0" borderId="15" xfId="0" applyFont="1" applyBorder="1" applyAlignment="1">
      <alignment horizontal="center" vertical="center" wrapText="1"/>
    </xf>
    <xf numFmtId="0" fontId="11" fillId="0" borderId="15" xfId="0" applyNumberFormat="1" applyFont="1" applyBorder="1" applyAlignment="1">
      <alignment horizontal="center" vertical="center"/>
    </xf>
    <xf numFmtId="184" fontId="11" fillId="0" borderId="15" xfId="0" applyNumberFormat="1" applyFont="1" applyBorder="1" applyAlignment="1">
      <alignment horizontal="center" vertical="center"/>
    </xf>
    <xf numFmtId="176" fontId="11" fillId="0" borderId="15" xfId="0" applyFont="1" applyBorder="1" applyAlignment="1">
      <alignment horizontal="center" vertical="center"/>
    </xf>
    <xf numFmtId="186" fontId="10" fillId="2" borderId="0" xfId="89" applyNumberFormat="1" applyFont="1" applyFill="1" applyAlignment="1">
      <alignment horizontal="center" vertical="center" wrapText="1"/>
    </xf>
    <xf numFmtId="184" fontId="18" fillId="2" borderId="0" xfId="93" applyNumberFormat="1" applyFont="1" applyFill="1"/>
    <xf numFmtId="185" fontId="18" fillId="2" borderId="0" xfId="93" applyNumberFormat="1" applyFont="1" applyFill="1"/>
    <xf numFmtId="176" fontId="20" fillId="2" borderId="20" xfId="45" applyFont="1" applyFill="1" applyBorder="1" applyAlignment="1" applyProtection="1">
      <alignment horizontal="center" vertical="center" wrapText="1"/>
      <protection locked="0"/>
    </xf>
    <xf numFmtId="176" fontId="16" fillId="0" borderId="15" xfId="0" quotePrefix="1" applyFont="1" applyBorder="1" applyAlignment="1">
      <alignment horizontal="center" vertical="center" wrapText="1"/>
    </xf>
    <xf numFmtId="49" fontId="67" fillId="0" borderId="20" xfId="85" quotePrefix="1" applyNumberFormat="1" applyFont="1" applyBorder="1" applyAlignment="1">
      <alignment horizontal="center" vertical="top" wrapText="1" readingOrder="1"/>
    </xf>
    <xf numFmtId="176" fontId="16" fillId="2" borderId="15" xfId="0" applyFont="1" applyFill="1" applyBorder="1" applyAlignment="1">
      <alignment horizontal="center" vertical="center" wrapText="1"/>
    </xf>
    <xf numFmtId="176" fontId="11" fillId="2" borderId="15" xfId="0" applyFont="1" applyFill="1" applyBorder="1" applyAlignment="1">
      <alignment horizontal="center" vertical="center"/>
    </xf>
    <xf numFmtId="184" fontId="11" fillId="2" borderId="15" xfId="0" applyNumberFormat="1" applyFont="1" applyFill="1" applyBorder="1" applyAlignment="1">
      <alignment horizontal="center" vertical="center"/>
    </xf>
    <xf numFmtId="176" fontId="16" fillId="2" borderId="15" xfId="0" quotePrefix="1" applyFont="1" applyFill="1" applyBorder="1" applyAlignment="1">
      <alignment horizontal="center" vertical="center" wrapText="1"/>
    </xf>
    <xf numFmtId="0" fontId="11" fillId="2" borderId="15" xfId="0" applyNumberFormat="1" applyFont="1" applyFill="1" applyBorder="1" applyAlignment="1">
      <alignment horizontal="center" vertical="center"/>
    </xf>
    <xf numFmtId="0" fontId="4" fillId="2" borderId="0" xfId="53" applyFont="1" applyFill="1" applyAlignment="1">
      <alignment horizontal="center" vertical="center"/>
    </xf>
    <xf numFmtId="0" fontId="5" fillId="2" borderId="0" xfId="41" applyFont="1" applyFill="1" applyAlignment="1">
      <alignment horizontal="center" vertical="center"/>
    </xf>
    <xf numFmtId="0" fontId="6" fillId="2" borderId="0" xfId="53" applyFont="1" applyFill="1" applyAlignment="1">
      <alignment horizontal="center" vertical="center"/>
    </xf>
    <xf numFmtId="49" fontId="7" fillId="2" borderId="4" xfId="53" applyNumberFormat="1" applyFont="1" applyFill="1" applyBorder="1" applyAlignment="1">
      <alignment horizontal="left"/>
    </xf>
    <xf numFmtId="0" fontId="7" fillId="2" borderId="5" xfId="53" applyFont="1" applyFill="1" applyBorder="1" applyAlignment="1">
      <alignment horizontal="left"/>
    </xf>
    <xf numFmtId="0" fontId="7" fillId="2" borderId="6" xfId="53" applyFont="1" applyFill="1" applyBorder="1" applyAlignment="1">
      <alignment horizontal="left"/>
    </xf>
    <xf numFmtId="0" fontId="7" fillId="2" borderId="4" xfId="53" applyFont="1" applyFill="1" applyBorder="1" applyAlignment="1">
      <alignment horizontal="left"/>
    </xf>
    <xf numFmtId="0" fontId="8" fillId="2" borderId="4" xfId="91" applyFont="1" applyFill="1" applyBorder="1" applyAlignment="1">
      <alignment horizontal="center" vertical="center"/>
    </xf>
    <xf numFmtId="0" fontId="8" fillId="2" borderId="5" xfId="91" applyFont="1" applyFill="1" applyBorder="1" applyAlignment="1">
      <alignment horizontal="center" vertical="center"/>
    </xf>
    <xf numFmtId="182" fontId="8" fillId="2" borderId="5" xfId="91" applyNumberFormat="1" applyFont="1" applyFill="1" applyBorder="1" applyAlignment="1">
      <alignment horizontal="center" vertical="center"/>
    </xf>
    <xf numFmtId="182" fontId="8" fillId="2" borderId="6" xfId="91" applyNumberFormat="1" applyFont="1" applyFill="1" applyBorder="1" applyAlignment="1">
      <alignment horizontal="center" vertical="center"/>
    </xf>
    <xf numFmtId="0" fontId="10" fillId="2" borderId="17" xfId="89" applyFont="1" applyFill="1" applyBorder="1" applyAlignment="1">
      <alignment horizontal="center" vertical="center" wrapText="1"/>
    </xf>
    <xf numFmtId="0" fontId="10" fillId="2" borderId="18" xfId="89" applyFont="1" applyFill="1" applyBorder="1" applyAlignment="1">
      <alignment horizontal="center" vertical="center" wrapText="1"/>
    </xf>
    <xf numFmtId="0" fontId="10" fillId="2" borderId="30" xfId="89" applyFont="1" applyFill="1" applyBorder="1" applyAlignment="1">
      <alignment horizontal="center" vertical="center" wrapText="1"/>
    </xf>
    <xf numFmtId="49" fontId="9" fillId="2" borderId="17" xfId="45" quotePrefix="1" applyNumberFormat="1" applyFont="1" applyFill="1" applyBorder="1" applyAlignment="1" applyProtection="1">
      <alignment horizontal="center" vertical="center" wrapText="1"/>
      <protection locked="0"/>
    </xf>
    <xf numFmtId="49" fontId="9" fillId="2" borderId="18" xfId="45" applyNumberFormat="1" applyFont="1" applyFill="1" applyBorder="1" applyAlignment="1" applyProtection="1">
      <alignment horizontal="center" vertical="center" wrapText="1"/>
      <protection locked="0"/>
    </xf>
    <xf numFmtId="49" fontId="9" fillId="2" borderId="30" xfId="45" applyNumberFormat="1" applyFont="1" applyFill="1" applyBorder="1" applyAlignment="1" applyProtection="1">
      <alignment horizontal="center" vertical="center" wrapText="1"/>
      <protection locked="0"/>
    </xf>
    <xf numFmtId="181" fontId="9" fillId="2" borderId="17" xfId="45" applyNumberFormat="1" applyFont="1" applyFill="1" applyBorder="1" applyAlignment="1" applyProtection="1">
      <alignment horizontal="center" vertical="center" wrapText="1"/>
      <protection locked="0"/>
    </xf>
    <xf numFmtId="181" fontId="9" fillId="2" borderId="18" xfId="45" applyNumberFormat="1" applyFont="1" applyFill="1" applyBorder="1" applyAlignment="1" applyProtection="1">
      <alignment horizontal="center" vertical="center" wrapText="1"/>
      <protection locked="0"/>
    </xf>
    <xf numFmtId="181" fontId="9" fillId="2" borderId="30" xfId="45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53" applyFont="1" applyFill="1" applyAlignment="1">
      <alignment horizontal="center" vertical="center"/>
    </xf>
    <xf numFmtId="176" fontId="8" fillId="2" borderId="8" xfId="45" applyFont="1" applyFill="1" applyBorder="1" applyAlignment="1" applyProtection="1">
      <alignment horizontal="center" vertical="center"/>
      <protection locked="0"/>
    </xf>
    <xf numFmtId="176" fontId="8" fillId="2" borderId="9" xfId="45" applyFont="1" applyFill="1" applyBorder="1" applyAlignment="1" applyProtection="1">
      <alignment horizontal="center" vertical="center"/>
      <protection locked="0"/>
    </xf>
    <xf numFmtId="176" fontId="8" fillId="2" borderId="0" xfId="45" applyFont="1" applyFill="1" applyAlignment="1" applyProtection="1">
      <alignment horizontal="center" vertical="center"/>
      <protection locked="0"/>
    </xf>
    <xf numFmtId="176" fontId="8" fillId="2" borderId="11" xfId="45" applyFont="1" applyFill="1" applyBorder="1" applyAlignment="1" applyProtection="1">
      <alignment horizontal="center" vertical="center"/>
      <protection locked="0"/>
    </xf>
    <xf numFmtId="176" fontId="8" fillId="2" borderId="13" xfId="45" applyFont="1" applyFill="1" applyBorder="1" applyAlignment="1" applyProtection="1">
      <alignment horizontal="center" vertical="center"/>
      <protection locked="0"/>
    </xf>
    <xf numFmtId="176" fontId="8" fillId="2" borderId="14" xfId="45" applyFont="1" applyFill="1" applyBorder="1" applyAlignment="1" applyProtection="1">
      <alignment horizontal="center" vertical="center"/>
      <protection locked="0"/>
    </xf>
    <xf numFmtId="49" fontId="9" fillId="2" borderId="17" xfId="87" applyNumberFormat="1" applyFont="1" applyFill="1" applyBorder="1" applyAlignment="1">
      <alignment horizontal="center" vertical="center" wrapText="1"/>
    </xf>
    <xf numFmtId="49" fontId="9" fillId="2" borderId="18" xfId="87" applyNumberFormat="1" applyFont="1" applyFill="1" applyBorder="1" applyAlignment="1">
      <alignment horizontal="center" vertical="center" wrapText="1"/>
    </xf>
    <xf numFmtId="49" fontId="9" fillId="2" borderId="30" xfId="87" applyNumberFormat="1" applyFont="1" applyFill="1" applyBorder="1" applyAlignment="1">
      <alignment horizontal="center" vertical="center" wrapText="1"/>
    </xf>
    <xf numFmtId="183" fontId="8" fillId="2" borderId="13" xfId="49" applyNumberFormat="1" applyFont="1" applyFill="1" applyBorder="1" applyAlignment="1" applyProtection="1">
      <alignment horizontal="left" vertical="top" wrapText="1"/>
      <protection locked="0"/>
    </xf>
  </cellXfs>
  <cellStyles count="127">
    <cellStyle name="20% - Accent2 2" xfId="1" xr:uid="{00000000-0005-0000-0000-000031000000}"/>
    <cellStyle name="20% - Accent3 2" xfId="2" xr:uid="{00000000-0005-0000-0000-000032000000}"/>
    <cellStyle name="20% - Accent4 2" xfId="3" xr:uid="{00000000-0005-0000-0000-000033000000}"/>
    <cellStyle name="20% - 强调文字颜色 1 2 2" xfId="4" xr:uid="{00000000-0005-0000-0000-000034000000}"/>
    <cellStyle name="20% - 强调文字颜色 1 3" xfId="5" xr:uid="{00000000-0005-0000-0000-000035000000}"/>
    <cellStyle name="20% - 强调文字颜色 2 2 2" xfId="6" xr:uid="{00000000-0005-0000-0000-000036000000}"/>
    <cellStyle name="20% - 强调文字颜色 4 3" xfId="7" xr:uid="{00000000-0005-0000-0000-000037000000}"/>
    <cellStyle name="20% - 强调文字颜色 5 2 2" xfId="8" xr:uid="{00000000-0005-0000-0000-000038000000}"/>
    <cellStyle name="40% - Accent3 2" xfId="9" xr:uid="{00000000-0005-0000-0000-000039000000}"/>
    <cellStyle name="40% - Accent6 2" xfId="10" xr:uid="{00000000-0005-0000-0000-00003A000000}"/>
    <cellStyle name="40% - 强调文字颜色 1 2" xfId="11" xr:uid="{00000000-0005-0000-0000-00003B000000}"/>
    <cellStyle name="40% - 强调文字颜色 1 2 2" xfId="12" xr:uid="{00000000-0005-0000-0000-00003C000000}"/>
    <cellStyle name="40% - 强调文字颜色 6 2 2" xfId="13" xr:uid="{00000000-0005-0000-0000-00003D000000}"/>
    <cellStyle name="60% - 强调文字颜色 3 2 3" xfId="14" xr:uid="{00000000-0005-0000-0000-00003E000000}"/>
    <cellStyle name="60% - 强调文字颜色 3 3" xfId="15" xr:uid="{00000000-0005-0000-0000-00003F000000}"/>
    <cellStyle name="60% - 强调文字颜色 4 2" xfId="16" xr:uid="{00000000-0005-0000-0000-000040000000}"/>
    <cellStyle name="60% - 强调文字颜色 4 2 2" xfId="17" xr:uid="{00000000-0005-0000-0000-000041000000}"/>
    <cellStyle name="60% - 强调文字颜色 5 2" xfId="18" xr:uid="{00000000-0005-0000-0000-000042000000}"/>
    <cellStyle name="60% - 强调文字颜色 5 2 2" xfId="19" xr:uid="{00000000-0005-0000-0000-000043000000}"/>
    <cellStyle name="60% - 强调文字颜色 6 2" xfId="20" xr:uid="{00000000-0005-0000-0000-000044000000}"/>
    <cellStyle name="60% - 强调文字颜色 6 2 2" xfId="21" xr:uid="{00000000-0005-0000-0000-000045000000}"/>
    <cellStyle name="Accent1 2" xfId="22" xr:uid="{00000000-0005-0000-0000-000046000000}"/>
    <cellStyle name="Accent2 2" xfId="23" xr:uid="{00000000-0005-0000-0000-000047000000}"/>
    <cellStyle name="Accent3 2" xfId="24" xr:uid="{00000000-0005-0000-0000-000048000000}"/>
    <cellStyle name="Accent4 2" xfId="25" xr:uid="{00000000-0005-0000-0000-000049000000}"/>
    <cellStyle name="Accent5 2" xfId="26" xr:uid="{00000000-0005-0000-0000-00004A000000}"/>
    <cellStyle name="Bad 2" xfId="27" xr:uid="{00000000-0005-0000-0000-00004B000000}"/>
    <cellStyle name="Calculation 2" xfId="28" xr:uid="{00000000-0005-0000-0000-00004C000000}"/>
    <cellStyle name="Check Cell 2" xfId="29" xr:uid="{00000000-0005-0000-0000-00004D000000}"/>
    <cellStyle name="Comma 2 2" xfId="30" xr:uid="{00000000-0005-0000-0000-00004E000000}"/>
    <cellStyle name="Currency 2" xfId="31" xr:uid="{00000000-0005-0000-0000-00004F000000}"/>
    <cellStyle name="Currency 2 12" xfId="32" xr:uid="{00000000-0005-0000-0000-000050000000}"/>
    <cellStyle name="Currency 2 2 2" xfId="33" xr:uid="{00000000-0005-0000-0000-000051000000}"/>
    <cellStyle name="Currency 2 56" xfId="34" xr:uid="{00000000-0005-0000-0000-000052000000}"/>
    <cellStyle name="Currency 2 71 2" xfId="35" xr:uid="{00000000-0005-0000-0000-000053000000}"/>
    <cellStyle name="Explanatory Text 2" xfId="36" xr:uid="{00000000-0005-0000-0000-000054000000}"/>
    <cellStyle name="Good 2" xfId="37" xr:uid="{00000000-0005-0000-0000-000055000000}"/>
    <cellStyle name="Heading 1 2" xfId="38" xr:uid="{00000000-0005-0000-0000-000056000000}"/>
    <cellStyle name="Hyperlink 2 10" xfId="39" xr:uid="{00000000-0005-0000-0000-000057000000}"/>
    <cellStyle name="Hyperlink 2 67 2" xfId="40" xr:uid="{00000000-0005-0000-0000-000058000000}"/>
    <cellStyle name="Hyperlink 2 83 2" xfId="41" xr:uid="{00000000-0005-0000-0000-000059000000}"/>
    <cellStyle name="Hyperlink 2 84" xfId="42" xr:uid="{00000000-0005-0000-0000-00005A000000}"/>
    <cellStyle name="Linked Cell 2" xfId="43" xr:uid="{00000000-0005-0000-0000-00005B000000}"/>
    <cellStyle name="Neutral 2" xfId="44" xr:uid="{00000000-0005-0000-0000-00005C000000}"/>
    <cellStyle name="Normal 2" xfId="45" xr:uid="{00000000-0005-0000-0000-00005D000000}"/>
    <cellStyle name="Normal 2 10" xfId="46" xr:uid="{00000000-0005-0000-0000-00005E000000}"/>
    <cellStyle name="Normal 2 2" xfId="47" xr:uid="{00000000-0005-0000-0000-00005F000000}"/>
    <cellStyle name="Normal 2 2 2 2" xfId="48" xr:uid="{00000000-0005-0000-0000-000060000000}"/>
    <cellStyle name="Normal 2 3" xfId="49" xr:uid="{00000000-0005-0000-0000-000061000000}"/>
    <cellStyle name="Normal 2 6" xfId="50" xr:uid="{00000000-0005-0000-0000-000062000000}"/>
    <cellStyle name="Normal 2 8" xfId="51" xr:uid="{00000000-0005-0000-0000-000063000000}"/>
    <cellStyle name="Normal 25" xfId="52" xr:uid="{00000000-0005-0000-0000-000064000000}"/>
    <cellStyle name="Normal 25 3 2" xfId="53" xr:uid="{00000000-0005-0000-0000-000065000000}"/>
    <cellStyle name="Normal 4 5" xfId="54" xr:uid="{00000000-0005-0000-0000-000066000000}"/>
    <cellStyle name="Normal 45" xfId="55" xr:uid="{00000000-0005-0000-0000-000067000000}"/>
    <cellStyle name="Normal 47" xfId="56" xr:uid="{00000000-0005-0000-0000-000068000000}"/>
    <cellStyle name="Normal 5" xfId="57" xr:uid="{00000000-0005-0000-0000-000069000000}"/>
    <cellStyle name="Normal 5 2 43 2" xfId="58" xr:uid="{00000000-0005-0000-0000-00006A000000}"/>
    <cellStyle name="Note 2" xfId="59" xr:uid="{00000000-0005-0000-0000-00006B000000}"/>
    <cellStyle name="Output 2" xfId="60" xr:uid="{00000000-0005-0000-0000-00006C000000}"/>
    <cellStyle name="Percent 2" xfId="61" xr:uid="{00000000-0005-0000-0000-00006D000000}"/>
    <cellStyle name="Title 2" xfId="62" xr:uid="{00000000-0005-0000-0000-00006E000000}"/>
    <cellStyle name="Total 2" xfId="63" xr:uid="{00000000-0005-0000-0000-00006F000000}"/>
    <cellStyle name="Warning Text 2" xfId="64" xr:uid="{00000000-0005-0000-0000-000070000000}"/>
    <cellStyle name="标题 1 2" xfId="65" xr:uid="{00000000-0005-0000-0000-000071000000}"/>
    <cellStyle name="标题 1 2 2" xfId="66" xr:uid="{00000000-0005-0000-0000-000072000000}"/>
    <cellStyle name="标题 2 2" xfId="67" xr:uid="{00000000-0005-0000-0000-000073000000}"/>
    <cellStyle name="标题 2 2 2" xfId="68" xr:uid="{00000000-0005-0000-0000-000074000000}"/>
    <cellStyle name="标题 3 2" xfId="69" xr:uid="{00000000-0005-0000-0000-000075000000}"/>
    <cellStyle name="标题 3 2 2" xfId="70" xr:uid="{00000000-0005-0000-0000-000076000000}"/>
    <cellStyle name="标题 4 2" xfId="71" xr:uid="{00000000-0005-0000-0000-000077000000}"/>
    <cellStyle name="标题 4 2 2" xfId="72" xr:uid="{00000000-0005-0000-0000-000078000000}"/>
    <cellStyle name="标题 5" xfId="73" xr:uid="{00000000-0005-0000-0000-000079000000}"/>
    <cellStyle name="标题 5 2" xfId="74" xr:uid="{00000000-0005-0000-0000-00007A000000}"/>
    <cellStyle name="差 10" xfId="75" xr:uid="{00000000-0005-0000-0000-00007B000000}"/>
    <cellStyle name="差 10 2" xfId="76" xr:uid="{00000000-0005-0000-0000-00007C000000}"/>
    <cellStyle name="差 169 2" xfId="77" xr:uid="{00000000-0005-0000-0000-00007D000000}"/>
    <cellStyle name="常规" xfId="0" builtinId="0"/>
    <cellStyle name="常规 10 2" xfId="78" xr:uid="{00000000-0005-0000-0000-00007E000000}"/>
    <cellStyle name="常规 10 2 3" xfId="79" xr:uid="{00000000-0005-0000-0000-00007F000000}"/>
    <cellStyle name="常规 10 2 3 2" xfId="80" xr:uid="{00000000-0005-0000-0000-000080000000}"/>
    <cellStyle name="常规 10 2 3 4" xfId="81" xr:uid="{00000000-0005-0000-0000-000081000000}"/>
    <cellStyle name="常规 100 2" xfId="82" xr:uid="{00000000-0005-0000-0000-000082000000}"/>
    <cellStyle name="常规 116" xfId="83" xr:uid="{00000000-0005-0000-0000-000083000000}"/>
    <cellStyle name="常规 116 2 2 2" xfId="84" xr:uid="{00000000-0005-0000-0000-000084000000}"/>
    <cellStyle name="常规 2" xfId="85" xr:uid="{00000000-0005-0000-0000-000085000000}"/>
    <cellStyle name="常规 2 10 2" xfId="86" xr:uid="{00000000-0005-0000-0000-000086000000}"/>
    <cellStyle name="常规 2 3 3 2" xfId="87" xr:uid="{00000000-0005-0000-0000-000087000000}"/>
    <cellStyle name="常规 252 2" xfId="88" xr:uid="{00000000-0005-0000-0000-000088000000}"/>
    <cellStyle name="常规 253 2" xfId="89" xr:uid="{00000000-0005-0000-0000-000089000000}"/>
    <cellStyle name="常规 3" xfId="90" xr:uid="{00000000-0005-0000-0000-00008A000000}"/>
    <cellStyle name="常规 4 2 2 2" xfId="91" xr:uid="{00000000-0005-0000-0000-00008B000000}"/>
    <cellStyle name="常规 5 2 2 2" xfId="92" xr:uid="{00000000-0005-0000-0000-00008C000000}"/>
    <cellStyle name="常规 7" xfId="93" xr:uid="{00000000-0005-0000-0000-00008D000000}"/>
    <cellStyle name="超链接 2" xfId="94" xr:uid="{00000000-0005-0000-0000-00008E000000}"/>
    <cellStyle name="好 2" xfId="95" xr:uid="{00000000-0005-0000-0000-00008F000000}"/>
    <cellStyle name="好 2 2" xfId="96" xr:uid="{00000000-0005-0000-0000-000090000000}"/>
    <cellStyle name="汇总 2" xfId="97" xr:uid="{00000000-0005-0000-0000-000091000000}"/>
    <cellStyle name="汇总 2 2" xfId="98" xr:uid="{00000000-0005-0000-0000-000092000000}"/>
    <cellStyle name="货币 2 5" xfId="99" xr:uid="{00000000-0005-0000-0000-000093000000}"/>
    <cellStyle name="计算 2 2" xfId="100" xr:uid="{00000000-0005-0000-0000-000094000000}"/>
    <cellStyle name="计算 2 4" xfId="101" xr:uid="{00000000-0005-0000-0000-000095000000}"/>
    <cellStyle name="检查单元格 2" xfId="102" xr:uid="{00000000-0005-0000-0000-000096000000}"/>
    <cellStyle name="检查单元格 2 2" xfId="103" xr:uid="{00000000-0005-0000-0000-000097000000}"/>
    <cellStyle name="解释性文本 2" xfId="104" xr:uid="{00000000-0005-0000-0000-000098000000}"/>
    <cellStyle name="解释性文本 2 2" xfId="105" xr:uid="{00000000-0005-0000-0000-000099000000}"/>
    <cellStyle name="警告文本 2" xfId="106" xr:uid="{00000000-0005-0000-0000-00009A000000}"/>
    <cellStyle name="警告文本 2 2" xfId="107" xr:uid="{00000000-0005-0000-0000-00009B000000}"/>
    <cellStyle name="链接单元格 2" xfId="108" xr:uid="{00000000-0005-0000-0000-00009C000000}"/>
    <cellStyle name="链接单元格 2 2" xfId="109" xr:uid="{00000000-0005-0000-0000-00009D000000}"/>
    <cellStyle name="强调文字颜色 1 2" xfId="110" xr:uid="{00000000-0005-0000-0000-00009E000000}"/>
    <cellStyle name="强调文字颜色 1 2 2" xfId="111" xr:uid="{00000000-0005-0000-0000-00009F000000}"/>
    <cellStyle name="强调文字颜色 2 2" xfId="112" xr:uid="{00000000-0005-0000-0000-0000A0000000}"/>
    <cellStyle name="强调文字颜色 2 2 2" xfId="113" xr:uid="{00000000-0005-0000-0000-0000A1000000}"/>
    <cellStyle name="强调文字颜色 3 2" xfId="114" xr:uid="{00000000-0005-0000-0000-0000A2000000}"/>
    <cellStyle name="强调文字颜色 3 2 2" xfId="115" xr:uid="{00000000-0005-0000-0000-0000A3000000}"/>
    <cellStyle name="强调文字颜色 6 2" xfId="116" xr:uid="{00000000-0005-0000-0000-0000A4000000}"/>
    <cellStyle name="强调文字颜色 6 2 2" xfId="117" xr:uid="{00000000-0005-0000-0000-0000A5000000}"/>
    <cellStyle name="适中 2" xfId="118" xr:uid="{00000000-0005-0000-0000-0000A6000000}"/>
    <cellStyle name="适中 2 2" xfId="119" xr:uid="{00000000-0005-0000-0000-0000A7000000}"/>
    <cellStyle name="输出 2" xfId="120" xr:uid="{00000000-0005-0000-0000-0000A8000000}"/>
    <cellStyle name="输出 2 2" xfId="121" xr:uid="{00000000-0005-0000-0000-0000A9000000}"/>
    <cellStyle name="输入 2" xfId="122" xr:uid="{00000000-0005-0000-0000-0000AA000000}"/>
    <cellStyle name="输入 2 2" xfId="123" xr:uid="{00000000-0005-0000-0000-0000AB000000}"/>
    <cellStyle name="一般_HK-Telephone List _contact list for all" xfId="124" xr:uid="{00000000-0005-0000-0000-0000AC000000}"/>
    <cellStyle name="注释 2" xfId="125" xr:uid="{00000000-0005-0000-0000-0000AD000000}"/>
    <cellStyle name="注释 2 2" xfId="126" xr:uid="{00000000-0005-0000-0000-0000AE000000}"/>
  </cellStyles>
  <dxfs count="0"/>
  <tableStyles count="1" defaultTableStyle="TableStyleMedium9" defaultPivotStyle="PivotStyleLight16">
    <tableStyle name="Invisible" pivot="0" table="0" count="0" xr9:uid="{3DD627DF-B5ED-44D7-8F72-9EF0EB62CD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C\2021\&#21457;&#31080;\00214771-00214776\NW-CC-21013&#160;00214771-00214776&#160;EU&#160;Packing&#160;List_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Packing List"/>
    </sheetNames>
    <sheetDataSet>
      <sheetData sheetId="0">
        <row r="7">
          <cell r="B7" t="str">
            <v>NEW WELLS INTERNATIONAL LIMITED</v>
          </cell>
        </row>
        <row r="8">
          <cell r="B8" t="str">
            <v>5F, Block E xinghai business center ,</v>
          </cell>
        </row>
        <row r="9">
          <cell r="B9" t="str">
            <v>#99 North  Jinling  Rd, CZ, JS,China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6"/>
  <sheetViews>
    <sheetView tabSelected="1" view="pageBreakPreview" topLeftCell="A52" zoomScale="75" zoomScaleNormal="80" zoomScaleSheetLayoutView="75" workbookViewId="0">
      <selection activeCell="C59" sqref="C59:C74"/>
    </sheetView>
  </sheetViews>
  <sheetFormatPr defaultColWidth="9" defaultRowHeight="14.25"/>
  <cols>
    <col min="1" max="1" width="17" style="3" customWidth="1"/>
    <col min="2" max="2" width="13.25" style="3" customWidth="1"/>
    <col min="3" max="3" width="17.75" style="3" customWidth="1"/>
    <col min="4" max="4" width="17.375" style="3" customWidth="1"/>
    <col min="5" max="5" width="14.75" style="3" customWidth="1"/>
    <col min="6" max="6" width="17" style="3" customWidth="1"/>
    <col min="7" max="7" width="19" style="3" customWidth="1"/>
    <col min="8" max="8" width="9.25" style="3" customWidth="1"/>
    <col min="9" max="9" width="8.5" style="3" customWidth="1"/>
    <col min="10" max="10" width="13" style="3" customWidth="1"/>
    <col min="11" max="11" width="20.375" style="3" customWidth="1"/>
    <col min="12" max="13" width="18.5" style="3" customWidth="1"/>
    <col min="14" max="14" width="13.875" style="3" customWidth="1"/>
    <col min="15" max="18" width="10.25" style="3" customWidth="1"/>
    <col min="19" max="21" width="9.5" style="3" customWidth="1"/>
    <col min="22" max="22" width="11.625" style="3" customWidth="1"/>
    <col min="23" max="23" width="9.625" style="3" customWidth="1"/>
    <col min="24" max="24" width="13.375" style="3" customWidth="1"/>
    <col min="25" max="25" width="12.75" style="3" customWidth="1"/>
    <col min="26" max="26" width="12" style="3" customWidth="1"/>
    <col min="27" max="27" width="9.75" style="3" customWidth="1"/>
    <col min="28" max="255" width="9" style="3"/>
    <col min="256" max="256" width="13.125" style="3" customWidth="1"/>
    <col min="257" max="257" width="14.375" style="3" customWidth="1"/>
    <col min="258" max="258" width="17.875" style="3" customWidth="1"/>
    <col min="259" max="259" width="14.5" style="3" customWidth="1"/>
    <col min="260" max="260" width="12.625" style="3" customWidth="1"/>
    <col min="261" max="262" width="14.5" style="3" customWidth="1"/>
    <col min="263" max="263" width="9.5" style="3" customWidth="1"/>
    <col min="264" max="264" width="7" style="3" customWidth="1"/>
    <col min="265" max="265" width="10.625" style="3" customWidth="1"/>
    <col min="266" max="266" width="10.5" style="3" customWidth="1"/>
    <col min="267" max="267" width="10" style="3" customWidth="1"/>
    <col min="268" max="268" width="9.5" style="3" customWidth="1"/>
    <col min="269" max="273" width="7.375" style="3" customWidth="1"/>
    <col min="274" max="275" width="6.875" style="3" customWidth="1"/>
    <col min="276" max="276" width="8" style="3" customWidth="1"/>
    <col min="277" max="277" width="12.5" style="3" customWidth="1"/>
    <col min="278" max="278" width="8.875" style="3" customWidth="1"/>
    <col min="279" max="511" width="9" style="3"/>
    <col min="512" max="512" width="13.125" style="3" customWidth="1"/>
    <col min="513" max="513" width="14.375" style="3" customWidth="1"/>
    <col min="514" max="514" width="17.875" style="3" customWidth="1"/>
    <col min="515" max="515" width="14.5" style="3" customWidth="1"/>
    <col min="516" max="516" width="12.625" style="3" customWidth="1"/>
    <col min="517" max="518" width="14.5" style="3" customWidth="1"/>
    <col min="519" max="519" width="9.5" style="3" customWidth="1"/>
    <col min="520" max="520" width="7" style="3" customWidth="1"/>
    <col min="521" max="521" width="10.625" style="3" customWidth="1"/>
    <col min="522" max="522" width="10.5" style="3" customWidth="1"/>
    <col min="523" max="523" width="10" style="3" customWidth="1"/>
    <col min="524" max="524" width="9.5" style="3" customWidth="1"/>
    <col min="525" max="529" width="7.375" style="3" customWidth="1"/>
    <col min="530" max="531" width="6.875" style="3" customWidth="1"/>
    <col min="532" max="532" width="8" style="3" customWidth="1"/>
    <col min="533" max="533" width="12.5" style="3" customWidth="1"/>
    <col min="534" max="534" width="8.875" style="3" customWidth="1"/>
    <col min="535" max="767" width="9" style="3"/>
    <col min="768" max="768" width="13.125" style="3" customWidth="1"/>
    <col min="769" max="769" width="14.375" style="3" customWidth="1"/>
    <col min="770" max="770" width="17.875" style="3" customWidth="1"/>
    <col min="771" max="771" width="14.5" style="3" customWidth="1"/>
    <col min="772" max="772" width="12.625" style="3" customWidth="1"/>
    <col min="773" max="774" width="14.5" style="3" customWidth="1"/>
    <col min="775" max="775" width="9.5" style="3" customWidth="1"/>
    <col min="776" max="776" width="7" style="3" customWidth="1"/>
    <col min="777" max="777" width="10.625" style="3" customWidth="1"/>
    <col min="778" max="778" width="10.5" style="3" customWidth="1"/>
    <col min="779" max="779" width="10" style="3" customWidth="1"/>
    <col min="780" max="780" width="9.5" style="3" customWidth="1"/>
    <col min="781" max="785" width="7.375" style="3" customWidth="1"/>
    <col min="786" max="787" width="6.875" style="3" customWidth="1"/>
    <col min="788" max="788" width="8" style="3" customWidth="1"/>
    <col min="789" max="789" width="12.5" style="3" customWidth="1"/>
    <col min="790" max="790" width="8.875" style="3" customWidth="1"/>
    <col min="791" max="1023" width="9" style="3"/>
    <col min="1024" max="1024" width="13.125" style="3" customWidth="1"/>
    <col min="1025" max="1025" width="14.375" style="3" customWidth="1"/>
    <col min="1026" max="1026" width="17.875" style="3" customWidth="1"/>
    <col min="1027" max="1027" width="14.5" style="3" customWidth="1"/>
    <col min="1028" max="1028" width="12.625" style="3" customWidth="1"/>
    <col min="1029" max="1030" width="14.5" style="3" customWidth="1"/>
    <col min="1031" max="1031" width="9.5" style="3" customWidth="1"/>
    <col min="1032" max="1032" width="7" style="3" customWidth="1"/>
    <col min="1033" max="1033" width="10.625" style="3" customWidth="1"/>
    <col min="1034" max="1034" width="10.5" style="3" customWidth="1"/>
    <col min="1035" max="1035" width="10" style="3" customWidth="1"/>
    <col min="1036" max="1036" width="9.5" style="3" customWidth="1"/>
    <col min="1037" max="1041" width="7.375" style="3" customWidth="1"/>
    <col min="1042" max="1043" width="6.875" style="3" customWidth="1"/>
    <col min="1044" max="1044" width="8" style="3" customWidth="1"/>
    <col min="1045" max="1045" width="12.5" style="3" customWidth="1"/>
    <col min="1046" max="1046" width="8.875" style="3" customWidth="1"/>
    <col min="1047" max="1279" width="9" style="3"/>
    <col min="1280" max="1280" width="13.125" style="3" customWidth="1"/>
    <col min="1281" max="1281" width="14.375" style="3" customWidth="1"/>
    <col min="1282" max="1282" width="17.875" style="3" customWidth="1"/>
    <col min="1283" max="1283" width="14.5" style="3" customWidth="1"/>
    <col min="1284" max="1284" width="12.625" style="3" customWidth="1"/>
    <col min="1285" max="1286" width="14.5" style="3" customWidth="1"/>
    <col min="1287" max="1287" width="9.5" style="3" customWidth="1"/>
    <col min="1288" max="1288" width="7" style="3" customWidth="1"/>
    <col min="1289" max="1289" width="10.625" style="3" customWidth="1"/>
    <col min="1290" max="1290" width="10.5" style="3" customWidth="1"/>
    <col min="1291" max="1291" width="10" style="3" customWidth="1"/>
    <col min="1292" max="1292" width="9.5" style="3" customWidth="1"/>
    <col min="1293" max="1297" width="7.375" style="3" customWidth="1"/>
    <col min="1298" max="1299" width="6.875" style="3" customWidth="1"/>
    <col min="1300" max="1300" width="8" style="3" customWidth="1"/>
    <col min="1301" max="1301" width="12.5" style="3" customWidth="1"/>
    <col min="1302" max="1302" width="8.875" style="3" customWidth="1"/>
    <col min="1303" max="1535" width="9" style="3"/>
    <col min="1536" max="1536" width="13.125" style="3" customWidth="1"/>
    <col min="1537" max="1537" width="14.375" style="3" customWidth="1"/>
    <col min="1538" max="1538" width="17.875" style="3" customWidth="1"/>
    <col min="1539" max="1539" width="14.5" style="3" customWidth="1"/>
    <col min="1540" max="1540" width="12.625" style="3" customWidth="1"/>
    <col min="1541" max="1542" width="14.5" style="3" customWidth="1"/>
    <col min="1543" max="1543" width="9.5" style="3" customWidth="1"/>
    <col min="1544" max="1544" width="7" style="3" customWidth="1"/>
    <col min="1545" max="1545" width="10.625" style="3" customWidth="1"/>
    <col min="1546" max="1546" width="10.5" style="3" customWidth="1"/>
    <col min="1547" max="1547" width="10" style="3" customWidth="1"/>
    <col min="1548" max="1548" width="9.5" style="3" customWidth="1"/>
    <col min="1549" max="1553" width="7.375" style="3" customWidth="1"/>
    <col min="1554" max="1555" width="6.875" style="3" customWidth="1"/>
    <col min="1556" max="1556" width="8" style="3" customWidth="1"/>
    <col min="1557" max="1557" width="12.5" style="3" customWidth="1"/>
    <col min="1558" max="1558" width="8.875" style="3" customWidth="1"/>
    <col min="1559" max="1791" width="9" style="3"/>
    <col min="1792" max="1792" width="13.125" style="3" customWidth="1"/>
    <col min="1793" max="1793" width="14.375" style="3" customWidth="1"/>
    <col min="1794" max="1794" width="17.875" style="3" customWidth="1"/>
    <col min="1795" max="1795" width="14.5" style="3" customWidth="1"/>
    <col min="1796" max="1796" width="12.625" style="3" customWidth="1"/>
    <col min="1797" max="1798" width="14.5" style="3" customWidth="1"/>
    <col min="1799" max="1799" width="9.5" style="3" customWidth="1"/>
    <col min="1800" max="1800" width="7" style="3" customWidth="1"/>
    <col min="1801" max="1801" width="10.625" style="3" customWidth="1"/>
    <col min="1802" max="1802" width="10.5" style="3" customWidth="1"/>
    <col min="1803" max="1803" width="10" style="3" customWidth="1"/>
    <col min="1804" max="1804" width="9.5" style="3" customWidth="1"/>
    <col min="1805" max="1809" width="7.375" style="3" customWidth="1"/>
    <col min="1810" max="1811" width="6.875" style="3" customWidth="1"/>
    <col min="1812" max="1812" width="8" style="3" customWidth="1"/>
    <col min="1813" max="1813" width="12.5" style="3" customWidth="1"/>
    <col min="1814" max="1814" width="8.875" style="3" customWidth="1"/>
    <col min="1815" max="2047" width="9" style="3"/>
    <col min="2048" max="2048" width="13.125" style="3" customWidth="1"/>
    <col min="2049" max="2049" width="14.375" style="3" customWidth="1"/>
    <col min="2050" max="2050" width="17.875" style="3" customWidth="1"/>
    <col min="2051" max="2051" width="14.5" style="3" customWidth="1"/>
    <col min="2052" max="2052" width="12.625" style="3" customWidth="1"/>
    <col min="2053" max="2054" width="14.5" style="3" customWidth="1"/>
    <col min="2055" max="2055" width="9.5" style="3" customWidth="1"/>
    <col min="2056" max="2056" width="7" style="3" customWidth="1"/>
    <col min="2057" max="2057" width="10.625" style="3" customWidth="1"/>
    <col min="2058" max="2058" width="10.5" style="3" customWidth="1"/>
    <col min="2059" max="2059" width="10" style="3" customWidth="1"/>
    <col min="2060" max="2060" width="9.5" style="3" customWidth="1"/>
    <col min="2061" max="2065" width="7.375" style="3" customWidth="1"/>
    <col min="2066" max="2067" width="6.875" style="3" customWidth="1"/>
    <col min="2068" max="2068" width="8" style="3" customWidth="1"/>
    <col min="2069" max="2069" width="12.5" style="3" customWidth="1"/>
    <col min="2070" max="2070" width="8.875" style="3" customWidth="1"/>
    <col min="2071" max="2303" width="9" style="3"/>
    <col min="2304" max="2304" width="13.125" style="3" customWidth="1"/>
    <col min="2305" max="2305" width="14.375" style="3" customWidth="1"/>
    <col min="2306" max="2306" width="17.875" style="3" customWidth="1"/>
    <col min="2307" max="2307" width="14.5" style="3" customWidth="1"/>
    <col min="2308" max="2308" width="12.625" style="3" customWidth="1"/>
    <col min="2309" max="2310" width="14.5" style="3" customWidth="1"/>
    <col min="2311" max="2311" width="9.5" style="3" customWidth="1"/>
    <col min="2312" max="2312" width="7" style="3" customWidth="1"/>
    <col min="2313" max="2313" width="10.625" style="3" customWidth="1"/>
    <col min="2314" max="2314" width="10.5" style="3" customWidth="1"/>
    <col min="2315" max="2315" width="10" style="3" customWidth="1"/>
    <col min="2316" max="2316" width="9.5" style="3" customWidth="1"/>
    <col min="2317" max="2321" width="7.375" style="3" customWidth="1"/>
    <col min="2322" max="2323" width="6.875" style="3" customWidth="1"/>
    <col min="2324" max="2324" width="8" style="3" customWidth="1"/>
    <col min="2325" max="2325" width="12.5" style="3" customWidth="1"/>
    <col min="2326" max="2326" width="8.875" style="3" customWidth="1"/>
    <col min="2327" max="2559" width="9" style="3"/>
    <col min="2560" max="2560" width="13.125" style="3" customWidth="1"/>
    <col min="2561" max="2561" width="14.375" style="3" customWidth="1"/>
    <col min="2562" max="2562" width="17.875" style="3" customWidth="1"/>
    <col min="2563" max="2563" width="14.5" style="3" customWidth="1"/>
    <col min="2564" max="2564" width="12.625" style="3" customWidth="1"/>
    <col min="2565" max="2566" width="14.5" style="3" customWidth="1"/>
    <col min="2567" max="2567" width="9.5" style="3" customWidth="1"/>
    <col min="2568" max="2568" width="7" style="3" customWidth="1"/>
    <col min="2569" max="2569" width="10.625" style="3" customWidth="1"/>
    <col min="2570" max="2570" width="10.5" style="3" customWidth="1"/>
    <col min="2571" max="2571" width="10" style="3" customWidth="1"/>
    <col min="2572" max="2572" width="9.5" style="3" customWidth="1"/>
    <col min="2573" max="2577" width="7.375" style="3" customWidth="1"/>
    <col min="2578" max="2579" width="6.875" style="3" customWidth="1"/>
    <col min="2580" max="2580" width="8" style="3" customWidth="1"/>
    <col min="2581" max="2581" width="12.5" style="3" customWidth="1"/>
    <col min="2582" max="2582" width="8.875" style="3" customWidth="1"/>
    <col min="2583" max="2815" width="9" style="3"/>
    <col min="2816" max="2816" width="13.125" style="3" customWidth="1"/>
    <col min="2817" max="2817" width="14.375" style="3" customWidth="1"/>
    <col min="2818" max="2818" width="17.875" style="3" customWidth="1"/>
    <col min="2819" max="2819" width="14.5" style="3" customWidth="1"/>
    <col min="2820" max="2820" width="12.625" style="3" customWidth="1"/>
    <col min="2821" max="2822" width="14.5" style="3" customWidth="1"/>
    <col min="2823" max="2823" width="9.5" style="3" customWidth="1"/>
    <col min="2824" max="2824" width="7" style="3" customWidth="1"/>
    <col min="2825" max="2825" width="10.625" style="3" customWidth="1"/>
    <col min="2826" max="2826" width="10.5" style="3" customWidth="1"/>
    <col min="2827" max="2827" width="10" style="3" customWidth="1"/>
    <col min="2828" max="2828" width="9.5" style="3" customWidth="1"/>
    <col min="2829" max="2833" width="7.375" style="3" customWidth="1"/>
    <col min="2834" max="2835" width="6.875" style="3" customWidth="1"/>
    <col min="2836" max="2836" width="8" style="3" customWidth="1"/>
    <col min="2837" max="2837" width="12.5" style="3" customWidth="1"/>
    <col min="2838" max="2838" width="8.875" style="3" customWidth="1"/>
    <col min="2839" max="3071" width="9" style="3"/>
    <col min="3072" max="3072" width="13.125" style="3" customWidth="1"/>
    <col min="3073" max="3073" width="14.375" style="3" customWidth="1"/>
    <col min="3074" max="3074" width="17.875" style="3" customWidth="1"/>
    <col min="3075" max="3075" width="14.5" style="3" customWidth="1"/>
    <col min="3076" max="3076" width="12.625" style="3" customWidth="1"/>
    <col min="3077" max="3078" width="14.5" style="3" customWidth="1"/>
    <col min="3079" max="3079" width="9.5" style="3" customWidth="1"/>
    <col min="3080" max="3080" width="7" style="3" customWidth="1"/>
    <col min="3081" max="3081" width="10.625" style="3" customWidth="1"/>
    <col min="3082" max="3082" width="10.5" style="3" customWidth="1"/>
    <col min="3083" max="3083" width="10" style="3" customWidth="1"/>
    <col min="3084" max="3084" width="9.5" style="3" customWidth="1"/>
    <col min="3085" max="3089" width="7.375" style="3" customWidth="1"/>
    <col min="3090" max="3091" width="6.875" style="3" customWidth="1"/>
    <col min="3092" max="3092" width="8" style="3" customWidth="1"/>
    <col min="3093" max="3093" width="12.5" style="3" customWidth="1"/>
    <col min="3094" max="3094" width="8.875" style="3" customWidth="1"/>
    <col min="3095" max="3327" width="9" style="3"/>
    <col min="3328" max="3328" width="13.125" style="3" customWidth="1"/>
    <col min="3329" max="3329" width="14.375" style="3" customWidth="1"/>
    <col min="3330" max="3330" width="17.875" style="3" customWidth="1"/>
    <col min="3331" max="3331" width="14.5" style="3" customWidth="1"/>
    <col min="3332" max="3332" width="12.625" style="3" customWidth="1"/>
    <col min="3333" max="3334" width="14.5" style="3" customWidth="1"/>
    <col min="3335" max="3335" width="9.5" style="3" customWidth="1"/>
    <col min="3336" max="3336" width="7" style="3" customWidth="1"/>
    <col min="3337" max="3337" width="10.625" style="3" customWidth="1"/>
    <col min="3338" max="3338" width="10.5" style="3" customWidth="1"/>
    <col min="3339" max="3339" width="10" style="3" customWidth="1"/>
    <col min="3340" max="3340" width="9.5" style="3" customWidth="1"/>
    <col min="3341" max="3345" width="7.375" style="3" customWidth="1"/>
    <col min="3346" max="3347" width="6.875" style="3" customWidth="1"/>
    <col min="3348" max="3348" width="8" style="3" customWidth="1"/>
    <col min="3349" max="3349" width="12.5" style="3" customWidth="1"/>
    <col min="3350" max="3350" width="8.875" style="3" customWidth="1"/>
    <col min="3351" max="3583" width="9" style="3"/>
    <col min="3584" max="3584" width="13.125" style="3" customWidth="1"/>
    <col min="3585" max="3585" width="14.375" style="3" customWidth="1"/>
    <col min="3586" max="3586" width="17.875" style="3" customWidth="1"/>
    <col min="3587" max="3587" width="14.5" style="3" customWidth="1"/>
    <col min="3588" max="3588" width="12.625" style="3" customWidth="1"/>
    <col min="3589" max="3590" width="14.5" style="3" customWidth="1"/>
    <col min="3591" max="3591" width="9.5" style="3" customWidth="1"/>
    <col min="3592" max="3592" width="7" style="3" customWidth="1"/>
    <col min="3593" max="3593" width="10.625" style="3" customWidth="1"/>
    <col min="3594" max="3594" width="10.5" style="3" customWidth="1"/>
    <col min="3595" max="3595" width="10" style="3" customWidth="1"/>
    <col min="3596" max="3596" width="9.5" style="3" customWidth="1"/>
    <col min="3597" max="3601" width="7.375" style="3" customWidth="1"/>
    <col min="3602" max="3603" width="6.875" style="3" customWidth="1"/>
    <col min="3604" max="3604" width="8" style="3" customWidth="1"/>
    <col min="3605" max="3605" width="12.5" style="3" customWidth="1"/>
    <col min="3606" max="3606" width="8.875" style="3" customWidth="1"/>
    <col min="3607" max="3839" width="9" style="3"/>
    <col min="3840" max="3840" width="13.125" style="3" customWidth="1"/>
    <col min="3841" max="3841" width="14.375" style="3" customWidth="1"/>
    <col min="3842" max="3842" width="17.875" style="3" customWidth="1"/>
    <col min="3843" max="3843" width="14.5" style="3" customWidth="1"/>
    <col min="3844" max="3844" width="12.625" style="3" customWidth="1"/>
    <col min="3845" max="3846" width="14.5" style="3" customWidth="1"/>
    <col min="3847" max="3847" width="9.5" style="3" customWidth="1"/>
    <col min="3848" max="3848" width="7" style="3" customWidth="1"/>
    <col min="3849" max="3849" width="10.625" style="3" customWidth="1"/>
    <col min="3850" max="3850" width="10.5" style="3" customWidth="1"/>
    <col min="3851" max="3851" width="10" style="3" customWidth="1"/>
    <col min="3852" max="3852" width="9.5" style="3" customWidth="1"/>
    <col min="3853" max="3857" width="7.375" style="3" customWidth="1"/>
    <col min="3858" max="3859" width="6.875" style="3" customWidth="1"/>
    <col min="3860" max="3860" width="8" style="3" customWidth="1"/>
    <col min="3861" max="3861" width="12.5" style="3" customWidth="1"/>
    <col min="3862" max="3862" width="8.875" style="3" customWidth="1"/>
    <col min="3863" max="4095" width="9" style="3"/>
    <col min="4096" max="4096" width="13.125" style="3" customWidth="1"/>
    <col min="4097" max="4097" width="14.375" style="3" customWidth="1"/>
    <col min="4098" max="4098" width="17.875" style="3" customWidth="1"/>
    <col min="4099" max="4099" width="14.5" style="3" customWidth="1"/>
    <col min="4100" max="4100" width="12.625" style="3" customWidth="1"/>
    <col min="4101" max="4102" width="14.5" style="3" customWidth="1"/>
    <col min="4103" max="4103" width="9.5" style="3" customWidth="1"/>
    <col min="4104" max="4104" width="7" style="3" customWidth="1"/>
    <col min="4105" max="4105" width="10.625" style="3" customWidth="1"/>
    <col min="4106" max="4106" width="10.5" style="3" customWidth="1"/>
    <col min="4107" max="4107" width="10" style="3" customWidth="1"/>
    <col min="4108" max="4108" width="9.5" style="3" customWidth="1"/>
    <col min="4109" max="4113" width="7.375" style="3" customWidth="1"/>
    <col min="4114" max="4115" width="6.875" style="3" customWidth="1"/>
    <col min="4116" max="4116" width="8" style="3" customWidth="1"/>
    <col min="4117" max="4117" width="12.5" style="3" customWidth="1"/>
    <col min="4118" max="4118" width="8.875" style="3" customWidth="1"/>
    <col min="4119" max="4351" width="9" style="3"/>
    <col min="4352" max="4352" width="13.125" style="3" customWidth="1"/>
    <col min="4353" max="4353" width="14.375" style="3" customWidth="1"/>
    <col min="4354" max="4354" width="17.875" style="3" customWidth="1"/>
    <col min="4355" max="4355" width="14.5" style="3" customWidth="1"/>
    <col min="4356" max="4356" width="12.625" style="3" customWidth="1"/>
    <col min="4357" max="4358" width="14.5" style="3" customWidth="1"/>
    <col min="4359" max="4359" width="9.5" style="3" customWidth="1"/>
    <col min="4360" max="4360" width="7" style="3" customWidth="1"/>
    <col min="4361" max="4361" width="10.625" style="3" customWidth="1"/>
    <col min="4362" max="4362" width="10.5" style="3" customWidth="1"/>
    <col min="4363" max="4363" width="10" style="3" customWidth="1"/>
    <col min="4364" max="4364" width="9.5" style="3" customWidth="1"/>
    <col min="4365" max="4369" width="7.375" style="3" customWidth="1"/>
    <col min="4370" max="4371" width="6.875" style="3" customWidth="1"/>
    <col min="4372" max="4372" width="8" style="3" customWidth="1"/>
    <col min="4373" max="4373" width="12.5" style="3" customWidth="1"/>
    <col min="4374" max="4374" width="8.875" style="3" customWidth="1"/>
    <col min="4375" max="4607" width="9" style="3"/>
    <col min="4608" max="4608" width="13.125" style="3" customWidth="1"/>
    <col min="4609" max="4609" width="14.375" style="3" customWidth="1"/>
    <col min="4610" max="4610" width="17.875" style="3" customWidth="1"/>
    <col min="4611" max="4611" width="14.5" style="3" customWidth="1"/>
    <col min="4612" max="4612" width="12.625" style="3" customWidth="1"/>
    <col min="4613" max="4614" width="14.5" style="3" customWidth="1"/>
    <col min="4615" max="4615" width="9.5" style="3" customWidth="1"/>
    <col min="4616" max="4616" width="7" style="3" customWidth="1"/>
    <col min="4617" max="4617" width="10.625" style="3" customWidth="1"/>
    <col min="4618" max="4618" width="10.5" style="3" customWidth="1"/>
    <col min="4619" max="4619" width="10" style="3" customWidth="1"/>
    <col min="4620" max="4620" width="9.5" style="3" customWidth="1"/>
    <col min="4621" max="4625" width="7.375" style="3" customWidth="1"/>
    <col min="4626" max="4627" width="6.875" style="3" customWidth="1"/>
    <col min="4628" max="4628" width="8" style="3" customWidth="1"/>
    <col min="4629" max="4629" width="12.5" style="3" customWidth="1"/>
    <col min="4630" max="4630" width="8.875" style="3" customWidth="1"/>
    <col min="4631" max="4863" width="9" style="3"/>
    <col min="4864" max="4864" width="13.125" style="3" customWidth="1"/>
    <col min="4865" max="4865" width="14.375" style="3" customWidth="1"/>
    <col min="4866" max="4866" width="17.875" style="3" customWidth="1"/>
    <col min="4867" max="4867" width="14.5" style="3" customWidth="1"/>
    <col min="4868" max="4868" width="12.625" style="3" customWidth="1"/>
    <col min="4869" max="4870" width="14.5" style="3" customWidth="1"/>
    <col min="4871" max="4871" width="9.5" style="3" customWidth="1"/>
    <col min="4872" max="4872" width="7" style="3" customWidth="1"/>
    <col min="4873" max="4873" width="10.625" style="3" customWidth="1"/>
    <col min="4874" max="4874" width="10.5" style="3" customWidth="1"/>
    <col min="4875" max="4875" width="10" style="3" customWidth="1"/>
    <col min="4876" max="4876" width="9.5" style="3" customWidth="1"/>
    <col min="4877" max="4881" width="7.375" style="3" customWidth="1"/>
    <col min="4882" max="4883" width="6.875" style="3" customWidth="1"/>
    <col min="4884" max="4884" width="8" style="3" customWidth="1"/>
    <col min="4885" max="4885" width="12.5" style="3" customWidth="1"/>
    <col min="4886" max="4886" width="8.875" style="3" customWidth="1"/>
    <col min="4887" max="5119" width="9" style="3"/>
    <col min="5120" max="5120" width="13.125" style="3" customWidth="1"/>
    <col min="5121" max="5121" width="14.375" style="3" customWidth="1"/>
    <col min="5122" max="5122" width="17.875" style="3" customWidth="1"/>
    <col min="5123" max="5123" width="14.5" style="3" customWidth="1"/>
    <col min="5124" max="5124" width="12.625" style="3" customWidth="1"/>
    <col min="5125" max="5126" width="14.5" style="3" customWidth="1"/>
    <col min="5127" max="5127" width="9.5" style="3" customWidth="1"/>
    <col min="5128" max="5128" width="7" style="3" customWidth="1"/>
    <col min="5129" max="5129" width="10.625" style="3" customWidth="1"/>
    <col min="5130" max="5130" width="10.5" style="3" customWidth="1"/>
    <col min="5131" max="5131" width="10" style="3" customWidth="1"/>
    <col min="5132" max="5132" width="9.5" style="3" customWidth="1"/>
    <col min="5133" max="5137" width="7.375" style="3" customWidth="1"/>
    <col min="5138" max="5139" width="6.875" style="3" customWidth="1"/>
    <col min="5140" max="5140" width="8" style="3" customWidth="1"/>
    <col min="5141" max="5141" width="12.5" style="3" customWidth="1"/>
    <col min="5142" max="5142" width="8.875" style="3" customWidth="1"/>
    <col min="5143" max="5375" width="9" style="3"/>
    <col min="5376" max="5376" width="13.125" style="3" customWidth="1"/>
    <col min="5377" max="5377" width="14.375" style="3" customWidth="1"/>
    <col min="5378" max="5378" width="17.875" style="3" customWidth="1"/>
    <col min="5379" max="5379" width="14.5" style="3" customWidth="1"/>
    <col min="5380" max="5380" width="12.625" style="3" customWidth="1"/>
    <col min="5381" max="5382" width="14.5" style="3" customWidth="1"/>
    <col min="5383" max="5383" width="9.5" style="3" customWidth="1"/>
    <col min="5384" max="5384" width="7" style="3" customWidth="1"/>
    <col min="5385" max="5385" width="10.625" style="3" customWidth="1"/>
    <col min="5386" max="5386" width="10.5" style="3" customWidth="1"/>
    <col min="5387" max="5387" width="10" style="3" customWidth="1"/>
    <col min="5388" max="5388" width="9.5" style="3" customWidth="1"/>
    <col min="5389" max="5393" width="7.375" style="3" customWidth="1"/>
    <col min="5394" max="5395" width="6.875" style="3" customWidth="1"/>
    <col min="5396" max="5396" width="8" style="3" customWidth="1"/>
    <col min="5397" max="5397" width="12.5" style="3" customWidth="1"/>
    <col min="5398" max="5398" width="8.875" style="3" customWidth="1"/>
    <col min="5399" max="5631" width="9" style="3"/>
    <col min="5632" max="5632" width="13.125" style="3" customWidth="1"/>
    <col min="5633" max="5633" width="14.375" style="3" customWidth="1"/>
    <col min="5634" max="5634" width="17.875" style="3" customWidth="1"/>
    <col min="5635" max="5635" width="14.5" style="3" customWidth="1"/>
    <col min="5636" max="5636" width="12.625" style="3" customWidth="1"/>
    <col min="5637" max="5638" width="14.5" style="3" customWidth="1"/>
    <col min="5639" max="5639" width="9.5" style="3" customWidth="1"/>
    <col min="5640" max="5640" width="7" style="3" customWidth="1"/>
    <col min="5641" max="5641" width="10.625" style="3" customWidth="1"/>
    <col min="5642" max="5642" width="10.5" style="3" customWidth="1"/>
    <col min="5643" max="5643" width="10" style="3" customWidth="1"/>
    <col min="5644" max="5644" width="9.5" style="3" customWidth="1"/>
    <col min="5645" max="5649" width="7.375" style="3" customWidth="1"/>
    <col min="5650" max="5651" width="6.875" style="3" customWidth="1"/>
    <col min="5652" max="5652" width="8" style="3" customWidth="1"/>
    <col min="5653" max="5653" width="12.5" style="3" customWidth="1"/>
    <col min="5654" max="5654" width="8.875" style="3" customWidth="1"/>
    <col min="5655" max="5887" width="9" style="3"/>
    <col min="5888" max="5888" width="13.125" style="3" customWidth="1"/>
    <col min="5889" max="5889" width="14.375" style="3" customWidth="1"/>
    <col min="5890" max="5890" width="17.875" style="3" customWidth="1"/>
    <col min="5891" max="5891" width="14.5" style="3" customWidth="1"/>
    <col min="5892" max="5892" width="12.625" style="3" customWidth="1"/>
    <col min="5893" max="5894" width="14.5" style="3" customWidth="1"/>
    <col min="5895" max="5895" width="9.5" style="3" customWidth="1"/>
    <col min="5896" max="5896" width="7" style="3" customWidth="1"/>
    <col min="5897" max="5897" width="10.625" style="3" customWidth="1"/>
    <col min="5898" max="5898" width="10.5" style="3" customWidth="1"/>
    <col min="5899" max="5899" width="10" style="3" customWidth="1"/>
    <col min="5900" max="5900" width="9.5" style="3" customWidth="1"/>
    <col min="5901" max="5905" width="7.375" style="3" customWidth="1"/>
    <col min="5906" max="5907" width="6.875" style="3" customWidth="1"/>
    <col min="5908" max="5908" width="8" style="3" customWidth="1"/>
    <col min="5909" max="5909" width="12.5" style="3" customWidth="1"/>
    <col min="5910" max="5910" width="8.875" style="3" customWidth="1"/>
    <col min="5911" max="6143" width="9" style="3"/>
    <col min="6144" max="6144" width="13.125" style="3" customWidth="1"/>
    <col min="6145" max="6145" width="14.375" style="3" customWidth="1"/>
    <col min="6146" max="6146" width="17.875" style="3" customWidth="1"/>
    <col min="6147" max="6147" width="14.5" style="3" customWidth="1"/>
    <col min="6148" max="6148" width="12.625" style="3" customWidth="1"/>
    <col min="6149" max="6150" width="14.5" style="3" customWidth="1"/>
    <col min="6151" max="6151" width="9.5" style="3" customWidth="1"/>
    <col min="6152" max="6152" width="7" style="3" customWidth="1"/>
    <col min="6153" max="6153" width="10.625" style="3" customWidth="1"/>
    <col min="6154" max="6154" width="10.5" style="3" customWidth="1"/>
    <col min="6155" max="6155" width="10" style="3" customWidth="1"/>
    <col min="6156" max="6156" width="9.5" style="3" customWidth="1"/>
    <col min="6157" max="6161" width="7.375" style="3" customWidth="1"/>
    <col min="6162" max="6163" width="6.875" style="3" customWidth="1"/>
    <col min="6164" max="6164" width="8" style="3" customWidth="1"/>
    <col min="6165" max="6165" width="12.5" style="3" customWidth="1"/>
    <col min="6166" max="6166" width="8.875" style="3" customWidth="1"/>
    <col min="6167" max="6399" width="9" style="3"/>
    <col min="6400" max="6400" width="13.125" style="3" customWidth="1"/>
    <col min="6401" max="6401" width="14.375" style="3" customWidth="1"/>
    <col min="6402" max="6402" width="17.875" style="3" customWidth="1"/>
    <col min="6403" max="6403" width="14.5" style="3" customWidth="1"/>
    <col min="6404" max="6404" width="12.625" style="3" customWidth="1"/>
    <col min="6405" max="6406" width="14.5" style="3" customWidth="1"/>
    <col min="6407" max="6407" width="9.5" style="3" customWidth="1"/>
    <col min="6408" max="6408" width="7" style="3" customWidth="1"/>
    <col min="6409" max="6409" width="10.625" style="3" customWidth="1"/>
    <col min="6410" max="6410" width="10.5" style="3" customWidth="1"/>
    <col min="6411" max="6411" width="10" style="3" customWidth="1"/>
    <col min="6412" max="6412" width="9.5" style="3" customWidth="1"/>
    <col min="6413" max="6417" width="7.375" style="3" customWidth="1"/>
    <col min="6418" max="6419" width="6.875" style="3" customWidth="1"/>
    <col min="6420" max="6420" width="8" style="3" customWidth="1"/>
    <col min="6421" max="6421" width="12.5" style="3" customWidth="1"/>
    <col min="6422" max="6422" width="8.875" style="3" customWidth="1"/>
    <col min="6423" max="6655" width="9" style="3"/>
    <col min="6656" max="6656" width="13.125" style="3" customWidth="1"/>
    <col min="6657" max="6657" width="14.375" style="3" customWidth="1"/>
    <col min="6658" max="6658" width="17.875" style="3" customWidth="1"/>
    <col min="6659" max="6659" width="14.5" style="3" customWidth="1"/>
    <col min="6660" max="6660" width="12.625" style="3" customWidth="1"/>
    <col min="6661" max="6662" width="14.5" style="3" customWidth="1"/>
    <col min="6663" max="6663" width="9.5" style="3" customWidth="1"/>
    <col min="6664" max="6664" width="7" style="3" customWidth="1"/>
    <col min="6665" max="6665" width="10.625" style="3" customWidth="1"/>
    <col min="6666" max="6666" width="10.5" style="3" customWidth="1"/>
    <col min="6667" max="6667" width="10" style="3" customWidth="1"/>
    <col min="6668" max="6668" width="9.5" style="3" customWidth="1"/>
    <col min="6669" max="6673" width="7.375" style="3" customWidth="1"/>
    <col min="6674" max="6675" width="6.875" style="3" customWidth="1"/>
    <col min="6676" max="6676" width="8" style="3" customWidth="1"/>
    <col min="6677" max="6677" width="12.5" style="3" customWidth="1"/>
    <col min="6678" max="6678" width="8.875" style="3" customWidth="1"/>
    <col min="6679" max="6911" width="9" style="3"/>
    <col min="6912" max="6912" width="13.125" style="3" customWidth="1"/>
    <col min="6913" max="6913" width="14.375" style="3" customWidth="1"/>
    <col min="6914" max="6914" width="17.875" style="3" customWidth="1"/>
    <col min="6915" max="6915" width="14.5" style="3" customWidth="1"/>
    <col min="6916" max="6916" width="12.625" style="3" customWidth="1"/>
    <col min="6917" max="6918" width="14.5" style="3" customWidth="1"/>
    <col min="6919" max="6919" width="9.5" style="3" customWidth="1"/>
    <col min="6920" max="6920" width="7" style="3" customWidth="1"/>
    <col min="6921" max="6921" width="10.625" style="3" customWidth="1"/>
    <col min="6922" max="6922" width="10.5" style="3" customWidth="1"/>
    <col min="6923" max="6923" width="10" style="3" customWidth="1"/>
    <col min="6924" max="6924" width="9.5" style="3" customWidth="1"/>
    <col min="6925" max="6929" width="7.375" style="3" customWidth="1"/>
    <col min="6930" max="6931" width="6.875" style="3" customWidth="1"/>
    <col min="6932" max="6932" width="8" style="3" customWidth="1"/>
    <col min="6933" max="6933" width="12.5" style="3" customWidth="1"/>
    <col min="6934" max="6934" width="8.875" style="3" customWidth="1"/>
    <col min="6935" max="7167" width="9" style="3"/>
    <col min="7168" max="7168" width="13.125" style="3" customWidth="1"/>
    <col min="7169" max="7169" width="14.375" style="3" customWidth="1"/>
    <col min="7170" max="7170" width="17.875" style="3" customWidth="1"/>
    <col min="7171" max="7171" width="14.5" style="3" customWidth="1"/>
    <col min="7172" max="7172" width="12.625" style="3" customWidth="1"/>
    <col min="7173" max="7174" width="14.5" style="3" customWidth="1"/>
    <col min="7175" max="7175" width="9.5" style="3" customWidth="1"/>
    <col min="7176" max="7176" width="7" style="3" customWidth="1"/>
    <col min="7177" max="7177" width="10.625" style="3" customWidth="1"/>
    <col min="7178" max="7178" width="10.5" style="3" customWidth="1"/>
    <col min="7179" max="7179" width="10" style="3" customWidth="1"/>
    <col min="7180" max="7180" width="9.5" style="3" customWidth="1"/>
    <col min="7181" max="7185" width="7.375" style="3" customWidth="1"/>
    <col min="7186" max="7187" width="6.875" style="3" customWidth="1"/>
    <col min="7188" max="7188" width="8" style="3" customWidth="1"/>
    <col min="7189" max="7189" width="12.5" style="3" customWidth="1"/>
    <col min="7190" max="7190" width="8.875" style="3" customWidth="1"/>
    <col min="7191" max="7423" width="9" style="3"/>
    <col min="7424" max="7424" width="13.125" style="3" customWidth="1"/>
    <col min="7425" max="7425" width="14.375" style="3" customWidth="1"/>
    <col min="7426" max="7426" width="17.875" style="3" customWidth="1"/>
    <col min="7427" max="7427" width="14.5" style="3" customWidth="1"/>
    <col min="7428" max="7428" width="12.625" style="3" customWidth="1"/>
    <col min="7429" max="7430" width="14.5" style="3" customWidth="1"/>
    <col min="7431" max="7431" width="9.5" style="3" customWidth="1"/>
    <col min="7432" max="7432" width="7" style="3" customWidth="1"/>
    <col min="7433" max="7433" width="10.625" style="3" customWidth="1"/>
    <col min="7434" max="7434" width="10.5" style="3" customWidth="1"/>
    <col min="7435" max="7435" width="10" style="3" customWidth="1"/>
    <col min="7436" max="7436" width="9.5" style="3" customWidth="1"/>
    <col min="7437" max="7441" width="7.375" style="3" customWidth="1"/>
    <col min="7442" max="7443" width="6.875" style="3" customWidth="1"/>
    <col min="7444" max="7444" width="8" style="3" customWidth="1"/>
    <col min="7445" max="7445" width="12.5" style="3" customWidth="1"/>
    <col min="7446" max="7446" width="8.875" style="3" customWidth="1"/>
    <col min="7447" max="7679" width="9" style="3"/>
    <col min="7680" max="7680" width="13.125" style="3" customWidth="1"/>
    <col min="7681" max="7681" width="14.375" style="3" customWidth="1"/>
    <col min="7682" max="7682" width="17.875" style="3" customWidth="1"/>
    <col min="7683" max="7683" width="14.5" style="3" customWidth="1"/>
    <col min="7684" max="7684" width="12.625" style="3" customWidth="1"/>
    <col min="7685" max="7686" width="14.5" style="3" customWidth="1"/>
    <col min="7687" max="7687" width="9.5" style="3" customWidth="1"/>
    <col min="7688" max="7688" width="7" style="3" customWidth="1"/>
    <col min="7689" max="7689" width="10.625" style="3" customWidth="1"/>
    <col min="7690" max="7690" width="10.5" style="3" customWidth="1"/>
    <col min="7691" max="7691" width="10" style="3" customWidth="1"/>
    <col min="7692" max="7692" width="9.5" style="3" customWidth="1"/>
    <col min="7693" max="7697" width="7.375" style="3" customWidth="1"/>
    <col min="7698" max="7699" width="6.875" style="3" customWidth="1"/>
    <col min="7700" max="7700" width="8" style="3" customWidth="1"/>
    <col min="7701" max="7701" width="12.5" style="3" customWidth="1"/>
    <col min="7702" max="7702" width="8.875" style="3" customWidth="1"/>
    <col min="7703" max="7935" width="9" style="3"/>
    <col min="7936" max="7936" width="13.125" style="3" customWidth="1"/>
    <col min="7937" max="7937" width="14.375" style="3" customWidth="1"/>
    <col min="7938" max="7938" width="17.875" style="3" customWidth="1"/>
    <col min="7939" max="7939" width="14.5" style="3" customWidth="1"/>
    <col min="7940" max="7940" width="12.625" style="3" customWidth="1"/>
    <col min="7941" max="7942" width="14.5" style="3" customWidth="1"/>
    <col min="7943" max="7943" width="9.5" style="3" customWidth="1"/>
    <col min="7944" max="7944" width="7" style="3" customWidth="1"/>
    <col min="7945" max="7945" width="10.625" style="3" customWidth="1"/>
    <col min="7946" max="7946" width="10.5" style="3" customWidth="1"/>
    <col min="7947" max="7947" width="10" style="3" customWidth="1"/>
    <col min="7948" max="7948" width="9.5" style="3" customWidth="1"/>
    <col min="7949" max="7953" width="7.375" style="3" customWidth="1"/>
    <col min="7954" max="7955" width="6.875" style="3" customWidth="1"/>
    <col min="7956" max="7956" width="8" style="3" customWidth="1"/>
    <col min="7957" max="7957" width="12.5" style="3" customWidth="1"/>
    <col min="7958" max="7958" width="8.875" style="3" customWidth="1"/>
    <col min="7959" max="8191" width="9" style="3"/>
    <col min="8192" max="8192" width="13.125" style="3" customWidth="1"/>
    <col min="8193" max="8193" width="14.375" style="3" customWidth="1"/>
    <col min="8194" max="8194" width="17.875" style="3" customWidth="1"/>
    <col min="8195" max="8195" width="14.5" style="3" customWidth="1"/>
    <col min="8196" max="8196" width="12.625" style="3" customWidth="1"/>
    <col min="8197" max="8198" width="14.5" style="3" customWidth="1"/>
    <col min="8199" max="8199" width="9.5" style="3" customWidth="1"/>
    <col min="8200" max="8200" width="7" style="3" customWidth="1"/>
    <col min="8201" max="8201" width="10.625" style="3" customWidth="1"/>
    <col min="8202" max="8202" width="10.5" style="3" customWidth="1"/>
    <col min="8203" max="8203" width="10" style="3" customWidth="1"/>
    <col min="8204" max="8204" width="9.5" style="3" customWidth="1"/>
    <col min="8205" max="8209" width="7.375" style="3" customWidth="1"/>
    <col min="8210" max="8211" width="6.875" style="3" customWidth="1"/>
    <col min="8212" max="8212" width="8" style="3" customWidth="1"/>
    <col min="8213" max="8213" width="12.5" style="3" customWidth="1"/>
    <col min="8214" max="8214" width="8.875" style="3" customWidth="1"/>
    <col min="8215" max="8447" width="9" style="3"/>
    <col min="8448" max="8448" width="13.125" style="3" customWidth="1"/>
    <col min="8449" max="8449" width="14.375" style="3" customWidth="1"/>
    <col min="8450" max="8450" width="17.875" style="3" customWidth="1"/>
    <col min="8451" max="8451" width="14.5" style="3" customWidth="1"/>
    <col min="8452" max="8452" width="12.625" style="3" customWidth="1"/>
    <col min="8453" max="8454" width="14.5" style="3" customWidth="1"/>
    <col min="8455" max="8455" width="9.5" style="3" customWidth="1"/>
    <col min="8456" max="8456" width="7" style="3" customWidth="1"/>
    <col min="8457" max="8457" width="10.625" style="3" customWidth="1"/>
    <col min="8458" max="8458" width="10.5" style="3" customWidth="1"/>
    <col min="8459" max="8459" width="10" style="3" customWidth="1"/>
    <col min="8460" max="8460" width="9.5" style="3" customWidth="1"/>
    <col min="8461" max="8465" width="7.375" style="3" customWidth="1"/>
    <col min="8466" max="8467" width="6.875" style="3" customWidth="1"/>
    <col min="8468" max="8468" width="8" style="3" customWidth="1"/>
    <col min="8469" max="8469" width="12.5" style="3" customWidth="1"/>
    <col min="8470" max="8470" width="8.875" style="3" customWidth="1"/>
    <col min="8471" max="8703" width="9" style="3"/>
    <col min="8704" max="8704" width="13.125" style="3" customWidth="1"/>
    <col min="8705" max="8705" width="14.375" style="3" customWidth="1"/>
    <col min="8706" max="8706" width="17.875" style="3" customWidth="1"/>
    <col min="8707" max="8707" width="14.5" style="3" customWidth="1"/>
    <col min="8708" max="8708" width="12.625" style="3" customWidth="1"/>
    <col min="8709" max="8710" width="14.5" style="3" customWidth="1"/>
    <col min="8711" max="8711" width="9.5" style="3" customWidth="1"/>
    <col min="8712" max="8712" width="7" style="3" customWidth="1"/>
    <col min="8713" max="8713" width="10.625" style="3" customWidth="1"/>
    <col min="8714" max="8714" width="10.5" style="3" customWidth="1"/>
    <col min="8715" max="8715" width="10" style="3" customWidth="1"/>
    <col min="8716" max="8716" width="9.5" style="3" customWidth="1"/>
    <col min="8717" max="8721" width="7.375" style="3" customWidth="1"/>
    <col min="8722" max="8723" width="6.875" style="3" customWidth="1"/>
    <col min="8724" max="8724" width="8" style="3" customWidth="1"/>
    <col min="8725" max="8725" width="12.5" style="3" customWidth="1"/>
    <col min="8726" max="8726" width="8.875" style="3" customWidth="1"/>
    <col min="8727" max="8959" width="9" style="3"/>
    <col min="8960" max="8960" width="13.125" style="3" customWidth="1"/>
    <col min="8961" max="8961" width="14.375" style="3" customWidth="1"/>
    <col min="8962" max="8962" width="17.875" style="3" customWidth="1"/>
    <col min="8963" max="8963" width="14.5" style="3" customWidth="1"/>
    <col min="8964" max="8964" width="12.625" style="3" customWidth="1"/>
    <col min="8965" max="8966" width="14.5" style="3" customWidth="1"/>
    <col min="8967" max="8967" width="9.5" style="3" customWidth="1"/>
    <col min="8968" max="8968" width="7" style="3" customWidth="1"/>
    <col min="8969" max="8969" width="10.625" style="3" customWidth="1"/>
    <col min="8970" max="8970" width="10.5" style="3" customWidth="1"/>
    <col min="8971" max="8971" width="10" style="3" customWidth="1"/>
    <col min="8972" max="8972" width="9.5" style="3" customWidth="1"/>
    <col min="8973" max="8977" width="7.375" style="3" customWidth="1"/>
    <col min="8978" max="8979" width="6.875" style="3" customWidth="1"/>
    <col min="8980" max="8980" width="8" style="3" customWidth="1"/>
    <col min="8981" max="8981" width="12.5" style="3" customWidth="1"/>
    <col min="8982" max="8982" width="8.875" style="3" customWidth="1"/>
    <col min="8983" max="9215" width="9" style="3"/>
    <col min="9216" max="9216" width="13.125" style="3" customWidth="1"/>
    <col min="9217" max="9217" width="14.375" style="3" customWidth="1"/>
    <col min="9218" max="9218" width="17.875" style="3" customWidth="1"/>
    <col min="9219" max="9219" width="14.5" style="3" customWidth="1"/>
    <col min="9220" max="9220" width="12.625" style="3" customWidth="1"/>
    <col min="9221" max="9222" width="14.5" style="3" customWidth="1"/>
    <col min="9223" max="9223" width="9.5" style="3" customWidth="1"/>
    <col min="9224" max="9224" width="7" style="3" customWidth="1"/>
    <col min="9225" max="9225" width="10.625" style="3" customWidth="1"/>
    <col min="9226" max="9226" width="10.5" style="3" customWidth="1"/>
    <col min="9227" max="9227" width="10" style="3" customWidth="1"/>
    <col min="9228" max="9228" width="9.5" style="3" customWidth="1"/>
    <col min="9229" max="9233" width="7.375" style="3" customWidth="1"/>
    <col min="9234" max="9235" width="6.875" style="3" customWidth="1"/>
    <col min="9236" max="9236" width="8" style="3" customWidth="1"/>
    <col min="9237" max="9237" width="12.5" style="3" customWidth="1"/>
    <col min="9238" max="9238" width="8.875" style="3" customWidth="1"/>
    <col min="9239" max="9471" width="9" style="3"/>
    <col min="9472" max="9472" width="13.125" style="3" customWidth="1"/>
    <col min="9473" max="9473" width="14.375" style="3" customWidth="1"/>
    <col min="9474" max="9474" width="17.875" style="3" customWidth="1"/>
    <col min="9475" max="9475" width="14.5" style="3" customWidth="1"/>
    <col min="9476" max="9476" width="12.625" style="3" customWidth="1"/>
    <col min="9477" max="9478" width="14.5" style="3" customWidth="1"/>
    <col min="9479" max="9479" width="9.5" style="3" customWidth="1"/>
    <col min="9480" max="9480" width="7" style="3" customWidth="1"/>
    <col min="9481" max="9481" width="10.625" style="3" customWidth="1"/>
    <col min="9482" max="9482" width="10.5" style="3" customWidth="1"/>
    <col min="9483" max="9483" width="10" style="3" customWidth="1"/>
    <col min="9484" max="9484" width="9.5" style="3" customWidth="1"/>
    <col min="9485" max="9489" width="7.375" style="3" customWidth="1"/>
    <col min="9490" max="9491" width="6.875" style="3" customWidth="1"/>
    <col min="9492" max="9492" width="8" style="3" customWidth="1"/>
    <col min="9493" max="9493" width="12.5" style="3" customWidth="1"/>
    <col min="9494" max="9494" width="8.875" style="3" customWidth="1"/>
    <col min="9495" max="9727" width="9" style="3"/>
    <col min="9728" max="9728" width="13.125" style="3" customWidth="1"/>
    <col min="9729" max="9729" width="14.375" style="3" customWidth="1"/>
    <col min="9730" max="9730" width="17.875" style="3" customWidth="1"/>
    <col min="9731" max="9731" width="14.5" style="3" customWidth="1"/>
    <col min="9732" max="9732" width="12.625" style="3" customWidth="1"/>
    <col min="9733" max="9734" width="14.5" style="3" customWidth="1"/>
    <col min="9735" max="9735" width="9.5" style="3" customWidth="1"/>
    <col min="9736" max="9736" width="7" style="3" customWidth="1"/>
    <col min="9737" max="9737" width="10.625" style="3" customWidth="1"/>
    <col min="9738" max="9738" width="10.5" style="3" customWidth="1"/>
    <col min="9739" max="9739" width="10" style="3" customWidth="1"/>
    <col min="9740" max="9740" width="9.5" style="3" customWidth="1"/>
    <col min="9741" max="9745" width="7.375" style="3" customWidth="1"/>
    <col min="9746" max="9747" width="6.875" style="3" customWidth="1"/>
    <col min="9748" max="9748" width="8" style="3" customWidth="1"/>
    <col min="9749" max="9749" width="12.5" style="3" customWidth="1"/>
    <col min="9750" max="9750" width="8.875" style="3" customWidth="1"/>
    <col min="9751" max="9983" width="9" style="3"/>
    <col min="9984" max="9984" width="13.125" style="3" customWidth="1"/>
    <col min="9985" max="9985" width="14.375" style="3" customWidth="1"/>
    <col min="9986" max="9986" width="17.875" style="3" customWidth="1"/>
    <col min="9987" max="9987" width="14.5" style="3" customWidth="1"/>
    <col min="9988" max="9988" width="12.625" style="3" customWidth="1"/>
    <col min="9989" max="9990" width="14.5" style="3" customWidth="1"/>
    <col min="9991" max="9991" width="9.5" style="3" customWidth="1"/>
    <col min="9992" max="9992" width="7" style="3" customWidth="1"/>
    <col min="9993" max="9993" width="10.625" style="3" customWidth="1"/>
    <col min="9994" max="9994" width="10.5" style="3" customWidth="1"/>
    <col min="9995" max="9995" width="10" style="3" customWidth="1"/>
    <col min="9996" max="9996" width="9.5" style="3" customWidth="1"/>
    <col min="9997" max="10001" width="7.375" style="3" customWidth="1"/>
    <col min="10002" max="10003" width="6.875" style="3" customWidth="1"/>
    <col min="10004" max="10004" width="8" style="3" customWidth="1"/>
    <col min="10005" max="10005" width="12.5" style="3" customWidth="1"/>
    <col min="10006" max="10006" width="8.875" style="3" customWidth="1"/>
    <col min="10007" max="10239" width="9" style="3"/>
    <col min="10240" max="10240" width="13.125" style="3" customWidth="1"/>
    <col min="10241" max="10241" width="14.375" style="3" customWidth="1"/>
    <col min="10242" max="10242" width="17.875" style="3" customWidth="1"/>
    <col min="10243" max="10243" width="14.5" style="3" customWidth="1"/>
    <col min="10244" max="10244" width="12.625" style="3" customWidth="1"/>
    <col min="10245" max="10246" width="14.5" style="3" customWidth="1"/>
    <col min="10247" max="10247" width="9.5" style="3" customWidth="1"/>
    <col min="10248" max="10248" width="7" style="3" customWidth="1"/>
    <col min="10249" max="10249" width="10.625" style="3" customWidth="1"/>
    <col min="10250" max="10250" width="10.5" style="3" customWidth="1"/>
    <col min="10251" max="10251" width="10" style="3" customWidth="1"/>
    <col min="10252" max="10252" width="9.5" style="3" customWidth="1"/>
    <col min="10253" max="10257" width="7.375" style="3" customWidth="1"/>
    <col min="10258" max="10259" width="6.875" style="3" customWidth="1"/>
    <col min="10260" max="10260" width="8" style="3" customWidth="1"/>
    <col min="10261" max="10261" width="12.5" style="3" customWidth="1"/>
    <col min="10262" max="10262" width="8.875" style="3" customWidth="1"/>
    <col min="10263" max="10495" width="9" style="3"/>
    <col min="10496" max="10496" width="13.125" style="3" customWidth="1"/>
    <col min="10497" max="10497" width="14.375" style="3" customWidth="1"/>
    <col min="10498" max="10498" width="17.875" style="3" customWidth="1"/>
    <col min="10499" max="10499" width="14.5" style="3" customWidth="1"/>
    <col min="10500" max="10500" width="12.625" style="3" customWidth="1"/>
    <col min="10501" max="10502" width="14.5" style="3" customWidth="1"/>
    <col min="10503" max="10503" width="9.5" style="3" customWidth="1"/>
    <col min="10504" max="10504" width="7" style="3" customWidth="1"/>
    <col min="10505" max="10505" width="10.625" style="3" customWidth="1"/>
    <col min="10506" max="10506" width="10.5" style="3" customWidth="1"/>
    <col min="10507" max="10507" width="10" style="3" customWidth="1"/>
    <col min="10508" max="10508" width="9.5" style="3" customWidth="1"/>
    <col min="10509" max="10513" width="7.375" style="3" customWidth="1"/>
    <col min="10514" max="10515" width="6.875" style="3" customWidth="1"/>
    <col min="10516" max="10516" width="8" style="3" customWidth="1"/>
    <col min="10517" max="10517" width="12.5" style="3" customWidth="1"/>
    <col min="10518" max="10518" width="8.875" style="3" customWidth="1"/>
    <col min="10519" max="10751" width="9" style="3"/>
    <col min="10752" max="10752" width="13.125" style="3" customWidth="1"/>
    <col min="10753" max="10753" width="14.375" style="3" customWidth="1"/>
    <col min="10754" max="10754" width="17.875" style="3" customWidth="1"/>
    <col min="10755" max="10755" width="14.5" style="3" customWidth="1"/>
    <col min="10756" max="10756" width="12.625" style="3" customWidth="1"/>
    <col min="10757" max="10758" width="14.5" style="3" customWidth="1"/>
    <col min="10759" max="10759" width="9.5" style="3" customWidth="1"/>
    <col min="10760" max="10760" width="7" style="3" customWidth="1"/>
    <col min="10761" max="10761" width="10.625" style="3" customWidth="1"/>
    <col min="10762" max="10762" width="10.5" style="3" customWidth="1"/>
    <col min="10763" max="10763" width="10" style="3" customWidth="1"/>
    <col min="10764" max="10764" width="9.5" style="3" customWidth="1"/>
    <col min="10765" max="10769" width="7.375" style="3" customWidth="1"/>
    <col min="10770" max="10771" width="6.875" style="3" customWidth="1"/>
    <col min="10772" max="10772" width="8" style="3" customWidth="1"/>
    <col min="10773" max="10773" width="12.5" style="3" customWidth="1"/>
    <col min="10774" max="10774" width="8.875" style="3" customWidth="1"/>
    <col min="10775" max="11007" width="9" style="3"/>
    <col min="11008" max="11008" width="13.125" style="3" customWidth="1"/>
    <col min="11009" max="11009" width="14.375" style="3" customWidth="1"/>
    <col min="11010" max="11010" width="17.875" style="3" customWidth="1"/>
    <col min="11011" max="11011" width="14.5" style="3" customWidth="1"/>
    <col min="11012" max="11012" width="12.625" style="3" customWidth="1"/>
    <col min="11013" max="11014" width="14.5" style="3" customWidth="1"/>
    <col min="11015" max="11015" width="9.5" style="3" customWidth="1"/>
    <col min="11016" max="11016" width="7" style="3" customWidth="1"/>
    <col min="11017" max="11017" width="10.625" style="3" customWidth="1"/>
    <col min="11018" max="11018" width="10.5" style="3" customWidth="1"/>
    <col min="11019" max="11019" width="10" style="3" customWidth="1"/>
    <col min="11020" max="11020" width="9.5" style="3" customWidth="1"/>
    <col min="11021" max="11025" width="7.375" style="3" customWidth="1"/>
    <col min="11026" max="11027" width="6.875" style="3" customWidth="1"/>
    <col min="11028" max="11028" width="8" style="3" customWidth="1"/>
    <col min="11029" max="11029" width="12.5" style="3" customWidth="1"/>
    <col min="11030" max="11030" width="8.875" style="3" customWidth="1"/>
    <col min="11031" max="11263" width="9" style="3"/>
    <col min="11264" max="11264" width="13.125" style="3" customWidth="1"/>
    <col min="11265" max="11265" width="14.375" style="3" customWidth="1"/>
    <col min="11266" max="11266" width="17.875" style="3" customWidth="1"/>
    <col min="11267" max="11267" width="14.5" style="3" customWidth="1"/>
    <col min="11268" max="11268" width="12.625" style="3" customWidth="1"/>
    <col min="11269" max="11270" width="14.5" style="3" customWidth="1"/>
    <col min="11271" max="11271" width="9.5" style="3" customWidth="1"/>
    <col min="11272" max="11272" width="7" style="3" customWidth="1"/>
    <col min="11273" max="11273" width="10.625" style="3" customWidth="1"/>
    <col min="11274" max="11274" width="10.5" style="3" customWidth="1"/>
    <col min="11275" max="11275" width="10" style="3" customWidth="1"/>
    <col min="11276" max="11276" width="9.5" style="3" customWidth="1"/>
    <col min="11277" max="11281" width="7.375" style="3" customWidth="1"/>
    <col min="11282" max="11283" width="6.875" style="3" customWidth="1"/>
    <col min="11284" max="11284" width="8" style="3" customWidth="1"/>
    <col min="11285" max="11285" width="12.5" style="3" customWidth="1"/>
    <col min="11286" max="11286" width="8.875" style="3" customWidth="1"/>
    <col min="11287" max="11519" width="9" style="3"/>
    <col min="11520" max="11520" width="13.125" style="3" customWidth="1"/>
    <col min="11521" max="11521" width="14.375" style="3" customWidth="1"/>
    <col min="11522" max="11522" width="17.875" style="3" customWidth="1"/>
    <col min="11523" max="11523" width="14.5" style="3" customWidth="1"/>
    <col min="11524" max="11524" width="12.625" style="3" customWidth="1"/>
    <col min="11525" max="11526" width="14.5" style="3" customWidth="1"/>
    <col min="11527" max="11527" width="9.5" style="3" customWidth="1"/>
    <col min="11528" max="11528" width="7" style="3" customWidth="1"/>
    <col min="11529" max="11529" width="10.625" style="3" customWidth="1"/>
    <col min="11530" max="11530" width="10.5" style="3" customWidth="1"/>
    <col min="11531" max="11531" width="10" style="3" customWidth="1"/>
    <col min="11532" max="11532" width="9.5" style="3" customWidth="1"/>
    <col min="11533" max="11537" width="7.375" style="3" customWidth="1"/>
    <col min="11538" max="11539" width="6.875" style="3" customWidth="1"/>
    <col min="11540" max="11540" width="8" style="3" customWidth="1"/>
    <col min="11541" max="11541" width="12.5" style="3" customWidth="1"/>
    <col min="11542" max="11542" width="8.875" style="3" customWidth="1"/>
    <col min="11543" max="11775" width="9" style="3"/>
    <col min="11776" max="11776" width="13.125" style="3" customWidth="1"/>
    <col min="11777" max="11777" width="14.375" style="3" customWidth="1"/>
    <col min="11778" max="11778" width="17.875" style="3" customWidth="1"/>
    <col min="11779" max="11779" width="14.5" style="3" customWidth="1"/>
    <col min="11780" max="11780" width="12.625" style="3" customWidth="1"/>
    <col min="11781" max="11782" width="14.5" style="3" customWidth="1"/>
    <col min="11783" max="11783" width="9.5" style="3" customWidth="1"/>
    <col min="11784" max="11784" width="7" style="3" customWidth="1"/>
    <col min="11785" max="11785" width="10.625" style="3" customWidth="1"/>
    <col min="11786" max="11786" width="10.5" style="3" customWidth="1"/>
    <col min="11787" max="11787" width="10" style="3" customWidth="1"/>
    <col min="11788" max="11788" width="9.5" style="3" customWidth="1"/>
    <col min="11789" max="11793" width="7.375" style="3" customWidth="1"/>
    <col min="11794" max="11795" width="6.875" style="3" customWidth="1"/>
    <col min="11796" max="11796" width="8" style="3" customWidth="1"/>
    <col min="11797" max="11797" width="12.5" style="3" customWidth="1"/>
    <col min="11798" max="11798" width="8.875" style="3" customWidth="1"/>
    <col min="11799" max="12031" width="9" style="3"/>
    <col min="12032" max="12032" width="13.125" style="3" customWidth="1"/>
    <col min="12033" max="12033" width="14.375" style="3" customWidth="1"/>
    <col min="12034" max="12034" width="17.875" style="3" customWidth="1"/>
    <col min="12035" max="12035" width="14.5" style="3" customWidth="1"/>
    <col min="12036" max="12036" width="12.625" style="3" customWidth="1"/>
    <col min="12037" max="12038" width="14.5" style="3" customWidth="1"/>
    <col min="12039" max="12039" width="9.5" style="3" customWidth="1"/>
    <col min="12040" max="12040" width="7" style="3" customWidth="1"/>
    <col min="12041" max="12041" width="10.625" style="3" customWidth="1"/>
    <col min="12042" max="12042" width="10.5" style="3" customWidth="1"/>
    <col min="12043" max="12043" width="10" style="3" customWidth="1"/>
    <col min="12044" max="12044" width="9.5" style="3" customWidth="1"/>
    <col min="12045" max="12049" width="7.375" style="3" customWidth="1"/>
    <col min="12050" max="12051" width="6.875" style="3" customWidth="1"/>
    <col min="12052" max="12052" width="8" style="3" customWidth="1"/>
    <col min="12053" max="12053" width="12.5" style="3" customWidth="1"/>
    <col min="12054" max="12054" width="8.875" style="3" customWidth="1"/>
    <col min="12055" max="12287" width="9" style="3"/>
    <col min="12288" max="12288" width="13.125" style="3" customWidth="1"/>
    <col min="12289" max="12289" width="14.375" style="3" customWidth="1"/>
    <col min="12290" max="12290" width="17.875" style="3" customWidth="1"/>
    <col min="12291" max="12291" width="14.5" style="3" customWidth="1"/>
    <col min="12292" max="12292" width="12.625" style="3" customWidth="1"/>
    <col min="12293" max="12294" width="14.5" style="3" customWidth="1"/>
    <col min="12295" max="12295" width="9.5" style="3" customWidth="1"/>
    <col min="12296" max="12296" width="7" style="3" customWidth="1"/>
    <col min="12297" max="12297" width="10.625" style="3" customWidth="1"/>
    <col min="12298" max="12298" width="10.5" style="3" customWidth="1"/>
    <col min="12299" max="12299" width="10" style="3" customWidth="1"/>
    <col min="12300" max="12300" width="9.5" style="3" customWidth="1"/>
    <col min="12301" max="12305" width="7.375" style="3" customWidth="1"/>
    <col min="12306" max="12307" width="6.875" style="3" customWidth="1"/>
    <col min="12308" max="12308" width="8" style="3" customWidth="1"/>
    <col min="12309" max="12309" width="12.5" style="3" customWidth="1"/>
    <col min="12310" max="12310" width="8.875" style="3" customWidth="1"/>
    <col min="12311" max="12543" width="9" style="3"/>
    <col min="12544" max="12544" width="13.125" style="3" customWidth="1"/>
    <col min="12545" max="12545" width="14.375" style="3" customWidth="1"/>
    <col min="12546" max="12546" width="17.875" style="3" customWidth="1"/>
    <col min="12547" max="12547" width="14.5" style="3" customWidth="1"/>
    <col min="12548" max="12548" width="12.625" style="3" customWidth="1"/>
    <col min="12549" max="12550" width="14.5" style="3" customWidth="1"/>
    <col min="12551" max="12551" width="9.5" style="3" customWidth="1"/>
    <col min="12552" max="12552" width="7" style="3" customWidth="1"/>
    <col min="12553" max="12553" width="10.625" style="3" customWidth="1"/>
    <col min="12554" max="12554" width="10.5" style="3" customWidth="1"/>
    <col min="12555" max="12555" width="10" style="3" customWidth="1"/>
    <col min="12556" max="12556" width="9.5" style="3" customWidth="1"/>
    <col min="12557" max="12561" width="7.375" style="3" customWidth="1"/>
    <col min="12562" max="12563" width="6.875" style="3" customWidth="1"/>
    <col min="12564" max="12564" width="8" style="3" customWidth="1"/>
    <col min="12565" max="12565" width="12.5" style="3" customWidth="1"/>
    <col min="12566" max="12566" width="8.875" style="3" customWidth="1"/>
    <col min="12567" max="12799" width="9" style="3"/>
    <col min="12800" max="12800" width="13.125" style="3" customWidth="1"/>
    <col min="12801" max="12801" width="14.375" style="3" customWidth="1"/>
    <col min="12802" max="12802" width="17.875" style="3" customWidth="1"/>
    <col min="12803" max="12803" width="14.5" style="3" customWidth="1"/>
    <col min="12804" max="12804" width="12.625" style="3" customWidth="1"/>
    <col min="12805" max="12806" width="14.5" style="3" customWidth="1"/>
    <col min="12807" max="12807" width="9.5" style="3" customWidth="1"/>
    <col min="12808" max="12808" width="7" style="3" customWidth="1"/>
    <col min="12809" max="12809" width="10.625" style="3" customWidth="1"/>
    <col min="12810" max="12810" width="10.5" style="3" customWidth="1"/>
    <col min="12811" max="12811" width="10" style="3" customWidth="1"/>
    <col min="12812" max="12812" width="9.5" style="3" customWidth="1"/>
    <col min="12813" max="12817" width="7.375" style="3" customWidth="1"/>
    <col min="12818" max="12819" width="6.875" style="3" customWidth="1"/>
    <col min="12820" max="12820" width="8" style="3" customWidth="1"/>
    <col min="12821" max="12821" width="12.5" style="3" customWidth="1"/>
    <col min="12822" max="12822" width="8.875" style="3" customWidth="1"/>
    <col min="12823" max="13055" width="9" style="3"/>
    <col min="13056" max="13056" width="13.125" style="3" customWidth="1"/>
    <col min="13057" max="13057" width="14.375" style="3" customWidth="1"/>
    <col min="13058" max="13058" width="17.875" style="3" customWidth="1"/>
    <col min="13059" max="13059" width="14.5" style="3" customWidth="1"/>
    <col min="13060" max="13060" width="12.625" style="3" customWidth="1"/>
    <col min="13061" max="13062" width="14.5" style="3" customWidth="1"/>
    <col min="13063" max="13063" width="9.5" style="3" customWidth="1"/>
    <col min="13064" max="13064" width="7" style="3" customWidth="1"/>
    <col min="13065" max="13065" width="10.625" style="3" customWidth="1"/>
    <col min="13066" max="13066" width="10.5" style="3" customWidth="1"/>
    <col min="13067" max="13067" width="10" style="3" customWidth="1"/>
    <col min="13068" max="13068" width="9.5" style="3" customWidth="1"/>
    <col min="13069" max="13073" width="7.375" style="3" customWidth="1"/>
    <col min="13074" max="13075" width="6.875" style="3" customWidth="1"/>
    <col min="13076" max="13076" width="8" style="3" customWidth="1"/>
    <col min="13077" max="13077" width="12.5" style="3" customWidth="1"/>
    <col min="13078" max="13078" width="8.875" style="3" customWidth="1"/>
    <col min="13079" max="13311" width="9" style="3"/>
    <col min="13312" max="13312" width="13.125" style="3" customWidth="1"/>
    <col min="13313" max="13313" width="14.375" style="3" customWidth="1"/>
    <col min="13314" max="13314" width="17.875" style="3" customWidth="1"/>
    <col min="13315" max="13315" width="14.5" style="3" customWidth="1"/>
    <col min="13316" max="13316" width="12.625" style="3" customWidth="1"/>
    <col min="13317" max="13318" width="14.5" style="3" customWidth="1"/>
    <col min="13319" max="13319" width="9.5" style="3" customWidth="1"/>
    <col min="13320" max="13320" width="7" style="3" customWidth="1"/>
    <col min="13321" max="13321" width="10.625" style="3" customWidth="1"/>
    <col min="13322" max="13322" width="10.5" style="3" customWidth="1"/>
    <col min="13323" max="13323" width="10" style="3" customWidth="1"/>
    <col min="13324" max="13324" width="9.5" style="3" customWidth="1"/>
    <col min="13325" max="13329" width="7.375" style="3" customWidth="1"/>
    <col min="13330" max="13331" width="6.875" style="3" customWidth="1"/>
    <col min="13332" max="13332" width="8" style="3" customWidth="1"/>
    <col min="13333" max="13333" width="12.5" style="3" customWidth="1"/>
    <col min="13334" max="13334" width="8.875" style="3" customWidth="1"/>
    <col min="13335" max="13567" width="9" style="3"/>
    <col min="13568" max="13568" width="13.125" style="3" customWidth="1"/>
    <col min="13569" max="13569" width="14.375" style="3" customWidth="1"/>
    <col min="13570" max="13570" width="17.875" style="3" customWidth="1"/>
    <col min="13571" max="13571" width="14.5" style="3" customWidth="1"/>
    <col min="13572" max="13572" width="12.625" style="3" customWidth="1"/>
    <col min="13573" max="13574" width="14.5" style="3" customWidth="1"/>
    <col min="13575" max="13575" width="9.5" style="3" customWidth="1"/>
    <col min="13576" max="13576" width="7" style="3" customWidth="1"/>
    <col min="13577" max="13577" width="10.625" style="3" customWidth="1"/>
    <col min="13578" max="13578" width="10.5" style="3" customWidth="1"/>
    <col min="13579" max="13579" width="10" style="3" customWidth="1"/>
    <col min="13580" max="13580" width="9.5" style="3" customWidth="1"/>
    <col min="13581" max="13585" width="7.375" style="3" customWidth="1"/>
    <col min="13586" max="13587" width="6.875" style="3" customWidth="1"/>
    <col min="13588" max="13588" width="8" style="3" customWidth="1"/>
    <col min="13589" max="13589" width="12.5" style="3" customWidth="1"/>
    <col min="13590" max="13590" width="8.875" style="3" customWidth="1"/>
    <col min="13591" max="13823" width="9" style="3"/>
    <col min="13824" max="13824" width="13.125" style="3" customWidth="1"/>
    <col min="13825" max="13825" width="14.375" style="3" customWidth="1"/>
    <col min="13826" max="13826" width="17.875" style="3" customWidth="1"/>
    <col min="13827" max="13827" width="14.5" style="3" customWidth="1"/>
    <col min="13828" max="13828" width="12.625" style="3" customWidth="1"/>
    <col min="13829" max="13830" width="14.5" style="3" customWidth="1"/>
    <col min="13831" max="13831" width="9.5" style="3" customWidth="1"/>
    <col min="13832" max="13832" width="7" style="3" customWidth="1"/>
    <col min="13833" max="13833" width="10.625" style="3" customWidth="1"/>
    <col min="13834" max="13834" width="10.5" style="3" customWidth="1"/>
    <col min="13835" max="13835" width="10" style="3" customWidth="1"/>
    <col min="13836" max="13836" width="9.5" style="3" customWidth="1"/>
    <col min="13837" max="13841" width="7.375" style="3" customWidth="1"/>
    <col min="13842" max="13843" width="6.875" style="3" customWidth="1"/>
    <col min="13844" max="13844" width="8" style="3" customWidth="1"/>
    <col min="13845" max="13845" width="12.5" style="3" customWidth="1"/>
    <col min="13846" max="13846" width="8.875" style="3" customWidth="1"/>
    <col min="13847" max="14079" width="9" style="3"/>
    <col min="14080" max="14080" width="13.125" style="3" customWidth="1"/>
    <col min="14081" max="14081" width="14.375" style="3" customWidth="1"/>
    <col min="14082" max="14082" width="17.875" style="3" customWidth="1"/>
    <col min="14083" max="14083" width="14.5" style="3" customWidth="1"/>
    <col min="14084" max="14084" width="12.625" style="3" customWidth="1"/>
    <col min="14085" max="14086" width="14.5" style="3" customWidth="1"/>
    <col min="14087" max="14087" width="9.5" style="3" customWidth="1"/>
    <col min="14088" max="14088" width="7" style="3" customWidth="1"/>
    <col min="14089" max="14089" width="10.625" style="3" customWidth="1"/>
    <col min="14090" max="14090" width="10.5" style="3" customWidth="1"/>
    <col min="14091" max="14091" width="10" style="3" customWidth="1"/>
    <col min="14092" max="14092" width="9.5" style="3" customWidth="1"/>
    <col min="14093" max="14097" width="7.375" style="3" customWidth="1"/>
    <col min="14098" max="14099" width="6.875" style="3" customWidth="1"/>
    <col min="14100" max="14100" width="8" style="3" customWidth="1"/>
    <col min="14101" max="14101" width="12.5" style="3" customWidth="1"/>
    <col min="14102" max="14102" width="8.875" style="3" customWidth="1"/>
    <col min="14103" max="14335" width="9" style="3"/>
    <col min="14336" max="14336" width="13.125" style="3" customWidth="1"/>
    <col min="14337" max="14337" width="14.375" style="3" customWidth="1"/>
    <col min="14338" max="14338" width="17.875" style="3" customWidth="1"/>
    <col min="14339" max="14339" width="14.5" style="3" customWidth="1"/>
    <col min="14340" max="14340" width="12.625" style="3" customWidth="1"/>
    <col min="14341" max="14342" width="14.5" style="3" customWidth="1"/>
    <col min="14343" max="14343" width="9.5" style="3" customWidth="1"/>
    <col min="14344" max="14344" width="7" style="3" customWidth="1"/>
    <col min="14345" max="14345" width="10.625" style="3" customWidth="1"/>
    <col min="14346" max="14346" width="10.5" style="3" customWidth="1"/>
    <col min="14347" max="14347" width="10" style="3" customWidth="1"/>
    <col min="14348" max="14348" width="9.5" style="3" customWidth="1"/>
    <col min="14349" max="14353" width="7.375" style="3" customWidth="1"/>
    <col min="14354" max="14355" width="6.875" style="3" customWidth="1"/>
    <col min="14356" max="14356" width="8" style="3" customWidth="1"/>
    <col min="14357" max="14357" width="12.5" style="3" customWidth="1"/>
    <col min="14358" max="14358" width="8.875" style="3" customWidth="1"/>
    <col min="14359" max="14591" width="9" style="3"/>
    <col min="14592" max="14592" width="13.125" style="3" customWidth="1"/>
    <col min="14593" max="14593" width="14.375" style="3" customWidth="1"/>
    <col min="14594" max="14594" width="17.875" style="3" customWidth="1"/>
    <col min="14595" max="14595" width="14.5" style="3" customWidth="1"/>
    <col min="14596" max="14596" width="12.625" style="3" customWidth="1"/>
    <col min="14597" max="14598" width="14.5" style="3" customWidth="1"/>
    <col min="14599" max="14599" width="9.5" style="3" customWidth="1"/>
    <col min="14600" max="14600" width="7" style="3" customWidth="1"/>
    <col min="14601" max="14601" width="10.625" style="3" customWidth="1"/>
    <col min="14602" max="14602" width="10.5" style="3" customWidth="1"/>
    <col min="14603" max="14603" width="10" style="3" customWidth="1"/>
    <col min="14604" max="14604" width="9.5" style="3" customWidth="1"/>
    <col min="14605" max="14609" width="7.375" style="3" customWidth="1"/>
    <col min="14610" max="14611" width="6.875" style="3" customWidth="1"/>
    <col min="14612" max="14612" width="8" style="3" customWidth="1"/>
    <col min="14613" max="14613" width="12.5" style="3" customWidth="1"/>
    <col min="14614" max="14614" width="8.875" style="3" customWidth="1"/>
    <col min="14615" max="14847" width="9" style="3"/>
    <col min="14848" max="14848" width="13.125" style="3" customWidth="1"/>
    <col min="14849" max="14849" width="14.375" style="3" customWidth="1"/>
    <col min="14850" max="14850" width="17.875" style="3" customWidth="1"/>
    <col min="14851" max="14851" width="14.5" style="3" customWidth="1"/>
    <col min="14852" max="14852" width="12.625" style="3" customWidth="1"/>
    <col min="14853" max="14854" width="14.5" style="3" customWidth="1"/>
    <col min="14855" max="14855" width="9.5" style="3" customWidth="1"/>
    <col min="14856" max="14856" width="7" style="3" customWidth="1"/>
    <col min="14857" max="14857" width="10.625" style="3" customWidth="1"/>
    <col min="14858" max="14858" width="10.5" style="3" customWidth="1"/>
    <col min="14859" max="14859" width="10" style="3" customWidth="1"/>
    <col min="14860" max="14860" width="9.5" style="3" customWidth="1"/>
    <col min="14861" max="14865" width="7.375" style="3" customWidth="1"/>
    <col min="14866" max="14867" width="6.875" style="3" customWidth="1"/>
    <col min="14868" max="14868" width="8" style="3" customWidth="1"/>
    <col min="14869" max="14869" width="12.5" style="3" customWidth="1"/>
    <col min="14870" max="14870" width="8.875" style="3" customWidth="1"/>
    <col min="14871" max="15103" width="9" style="3"/>
    <col min="15104" max="15104" width="13.125" style="3" customWidth="1"/>
    <col min="15105" max="15105" width="14.375" style="3" customWidth="1"/>
    <col min="15106" max="15106" width="17.875" style="3" customWidth="1"/>
    <col min="15107" max="15107" width="14.5" style="3" customWidth="1"/>
    <col min="15108" max="15108" width="12.625" style="3" customWidth="1"/>
    <col min="15109" max="15110" width="14.5" style="3" customWidth="1"/>
    <col min="15111" max="15111" width="9.5" style="3" customWidth="1"/>
    <col min="15112" max="15112" width="7" style="3" customWidth="1"/>
    <col min="15113" max="15113" width="10.625" style="3" customWidth="1"/>
    <col min="15114" max="15114" width="10.5" style="3" customWidth="1"/>
    <col min="15115" max="15115" width="10" style="3" customWidth="1"/>
    <col min="15116" max="15116" width="9.5" style="3" customWidth="1"/>
    <col min="15117" max="15121" width="7.375" style="3" customWidth="1"/>
    <col min="15122" max="15123" width="6.875" style="3" customWidth="1"/>
    <col min="15124" max="15124" width="8" style="3" customWidth="1"/>
    <col min="15125" max="15125" width="12.5" style="3" customWidth="1"/>
    <col min="15126" max="15126" width="8.875" style="3" customWidth="1"/>
    <col min="15127" max="15359" width="9" style="3"/>
    <col min="15360" max="15360" width="13.125" style="3" customWidth="1"/>
    <col min="15361" max="15361" width="14.375" style="3" customWidth="1"/>
    <col min="15362" max="15362" width="17.875" style="3" customWidth="1"/>
    <col min="15363" max="15363" width="14.5" style="3" customWidth="1"/>
    <col min="15364" max="15364" width="12.625" style="3" customWidth="1"/>
    <col min="15365" max="15366" width="14.5" style="3" customWidth="1"/>
    <col min="15367" max="15367" width="9.5" style="3" customWidth="1"/>
    <col min="15368" max="15368" width="7" style="3" customWidth="1"/>
    <col min="15369" max="15369" width="10.625" style="3" customWidth="1"/>
    <col min="15370" max="15370" width="10.5" style="3" customWidth="1"/>
    <col min="15371" max="15371" width="10" style="3" customWidth="1"/>
    <col min="15372" max="15372" width="9.5" style="3" customWidth="1"/>
    <col min="15373" max="15377" width="7.375" style="3" customWidth="1"/>
    <col min="15378" max="15379" width="6.875" style="3" customWidth="1"/>
    <col min="15380" max="15380" width="8" style="3" customWidth="1"/>
    <col min="15381" max="15381" width="12.5" style="3" customWidth="1"/>
    <col min="15382" max="15382" width="8.875" style="3" customWidth="1"/>
    <col min="15383" max="15615" width="9" style="3"/>
    <col min="15616" max="15616" width="13.125" style="3" customWidth="1"/>
    <col min="15617" max="15617" width="14.375" style="3" customWidth="1"/>
    <col min="15618" max="15618" width="17.875" style="3" customWidth="1"/>
    <col min="15619" max="15619" width="14.5" style="3" customWidth="1"/>
    <col min="15620" max="15620" width="12.625" style="3" customWidth="1"/>
    <col min="15621" max="15622" width="14.5" style="3" customWidth="1"/>
    <col min="15623" max="15623" width="9.5" style="3" customWidth="1"/>
    <col min="15624" max="15624" width="7" style="3" customWidth="1"/>
    <col min="15625" max="15625" width="10.625" style="3" customWidth="1"/>
    <col min="15626" max="15626" width="10.5" style="3" customWidth="1"/>
    <col min="15627" max="15627" width="10" style="3" customWidth="1"/>
    <col min="15628" max="15628" width="9.5" style="3" customWidth="1"/>
    <col min="15629" max="15633" width="7.375" style="3" customWidth="1"/>
    <col min="15634" max="15635" width="6.875" style="3" customWidth="1"/>
    <col min="15636" max="15636" width="8" style="3" customWidth="1"/>
    <col min="15637" max="15637" width="12.5" style="3" customWidth="1"/>
    <col min="15638" max="15638" width="8.875" style="3" customWidth="1"/>
    <col min="15639" max="15871" width="9" style="3"/>
    <col min="15872" max="15872" width="13.125" style="3" customWidth="1"/>
    <col min="15873" max="15873" width="14.375" style="3" customWidth="1"/>
    <col min="15874" max="15874" width="17.875" style="3" customWidth="1"/>
    <col min="15875" max="15875" width="14.5" style="3" customWidth="1"/>
    <col min="15876" max="15876" width="12.625" style="3" customWidth="1"/>
    <col min="15877" max="15878" width="14.5" style="3" customWidth="1"/>
    <col min="15879" max="15879" width="9.5" style="3" customWidth="1"/>
    <col min="15880" max="15880" width="7" style="3" customWidth="1"/>
    <col min="15881" max="15881" width="10.625" style="3" customWidth="1"/>
    <col min="15882" max="15882" width="10.5" style="3" customWidth="1"/>
    <col min="15883" max="15883" width="10" style="3" customWidth="1"/>
    <col min="15884" max="15884" width="9.5" style="3" customWidth="1"/>
    <col min="15885" max="15889" width="7.375" style="3" customWidth="1"/>
    <col min="15890" max="15891" width="6.875" style="3" customWidth="1"/>
    <col min="15892" max="15892" width="8" style="3" customWidth="1"/>
    <col min="15893" max="15893" width="12.5" style="3" customWidth="1"/>
    <col min="15894" max="15894" width="8.875" style="3" customWidth="1"/>
    <col min="15895" max="16127" width="9" style="3"/>
    <col min="16128" max="16128" width="13.125" style="3" customWidth="1"/>
    <col min="16129" max="16129" width="14.375" style="3" customWidth="1"/>
    <col min="16130" max="16130" width="17.875" style="3" customWidth="1"/>
    <col min="16131" max="16131" width="14.5" style="3" customWidth="1"/>
    <col min="16132" max="16132" width="12.625" style="3" customWidth="1"/>
    <col min="16133" max="16134" width="14.5" style="3" customWidth="1"/>
    <col min="16135" max="16135" width="9.5" style="3" customWidth="1"/>
    <col min="16136" max="16136" width="7" style="3" customWidth="1"/>
    <col min="16137" max="16137" width="10.625" style="3" customWidth="1"/>
    <col min="16138" max="16138" width="10.5" style="3" customWidth="1"/>
    <col min="16139" max="16139" width="10" style="3" customWidth="1"/>
    <col min="16140" max="16140" width="9.5" style="3" customWidth="1"/>
    <col min="16141" max="16145" width="7.375" style="3" customWidth="1"/>
    <col min="16146" max="16147" width="6.875" style="3" customWidth="1"/>
    <col min="16148" max="16148" width="8" style="3" customWidth="1"/>
    <col min="16149" max="16149" width="12.5" style="3" customWidth="1"/>
    <col min="16150" max="16150" width="8.875" style="3" customWidth="1"/>
    <col min="16151" max="16384" width="9" style="3"/>
  </cols>
  <sheetData>
    <row r="1" spans="1:26" ht="12.75" customHeight="1">
      <c r="A1" s="135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 spans="1:26" ht="13.5" customHeight="1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spans="1:26" ht="18">
      <c r="A3" s="115" t="s">
        <v>1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spans="1:26" ht="1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4"/>
      <c r="B5" s="5"/>
      <c r="C5" s="4"/>
      <c r="D5" s="4"/>
      <c r="E5" s="5"/>
      <c r="F5" s="4"/>
      <c r="G5" s="6"/>
      <c r="H5" s="4"/>
      <c r="I5" s="5"/>
      <c r="J5" s="4"/>
      <c r="K5" s="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>
      <c r="A6" s="8" t="s">
        <v>14</v>
      </c>
      <c r="B6" s="9"/>
      <c r="C6" s="10" t="s">
        <v>98</v>
      </c>
      <c r="D6" s="118"/>
      <c r="E6" s="119"/>
      <c r="F6" s="119"/>
      <c r="G6" s="120"/>
      <c r="H6" s="4"/>
      <c r="I6" s="5"/>
      <c r="J6" s="4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>
      <c r="A7" s="12" t="s">
        <v>15</v>
      </c>
      <c r="B7" s="13"/>
      <c r="C7" s="11"/>
      <c r="D7" s="121"/>
      <c r="E7" s="119"/>
      <c r="F7" s="119"/>
      <c r="G7" s="120"/>
      <c r="H7" s="4"/>
      <c r="I7" s="14" t="s">
        <v>5</v>
      </c>
      <c r="J7" s="15" t="s">
        <v>6</v>
      </c>
      <c r="K7" s="15"/>
      <c r="L7" s="15"/>
      <c r="M7" s="15"/>
      <c r="N7" s="136"/>
      <c r="O7" s="136"/>
      <c r="P7" s="136"/>
      <c r="Q7" s="136"/>
      <c r="R7" s="137"/>
      <c r="S7" s="4"/>
      <c r="T7" s="4"/>
      <c r="U7" s="4"/>
      <c r="V7" s="4"/>
      <c r="W7" s="4"/>
      <c r="X7" s="4"/>
      <c r="Y7" s="4"/>
      <c r="Z7" s="4"/>
    </row>
    <row r="8" spans="1:26" ht="15.75">
      <c r="A8" s="16" t="s">
        <v>2</v>
      </c>
      <c r="B8" s="17"/>
      <c r="C8" s="18"/>
      <c r="D8" s="18"/>
      <c r="E8" s="17"/>
      <c r="F8" s="18"/>
      <c r="G8" s="19"/>
      <c r="H8" s="4"/>
      <c r="I8" s="20"/>
      <c r="J8" s="21" t="s">
        <v>7</v>
      </c>
      <c r="K8" s="21"/>
      <c r="L8" s="21"/>
      <c r="M8" s="21"/>
      <c r="N8" s="138"/>
      <c r="O8" s="138"/>
      <c r="P8" s="138"/>
      <c r="Q8" s="138"/>
      <c r="R8" s="139"/>
      <c r="S8" s="4"/>
      <c r="T8" s="4"/>
      <c r="U8" s="4"/>
      <c r="V8" s="4"/>
      <c r="W8" s="4"/>
      <c r="X8" s="4"/>
      <c r="Y8" s="4"/>
      <c r="Z8" s="4"/>
    </row>
    <row r="9" spans="1:26" ht="15.75">
      <c r="A9" s="22" t="s">
        <v>3</v>
      </c>
      <c r="B9" s="23"/>
      <c r="C9" s="24" t="str">
        <f>[1]Invoice!B7</f>
        <v>NEW WELLS INTERNATIONAL LIMITED</v>
      </c>
      <c r="D9" s="25"/>
      <c r="E9" s="26"/>
      <c r="F9" s="25"/>
      <c r="G9" s="27"/>
      <c r="H9" s="4"/>
      <c r="I9" s="20"/>
      <c r="J9" s="21" t="s">
        <v>8</v>
      </c>
      <c r="K9" s="21"/>
      <c r="L9" s="21"/>
      <c r="M9" s="21"/>
      <c r="N9" s="138"/>
      <c r="O9" s="138"/>
      <c r="P9" s="138"/>
      <c r="Q9" s="138"/>
      <c r="R9" s="139"/>
      <c r="S9" s="4"/>
      <c r="T9" s="4"/>
      <c r="U9" s="4"/>
      <c r="V9" s="4"/>
      <c r="W9" s="4"/>
      <c r="X9" s="4"/>
      <c r="Y9" s="4"/>
      <c r="Z9" s="4"/>
    </row>
    <row r="10" spans="1:26" ht="15.75">
      <c r="A10" s="22" t="s">
        <v>4</v>
      </c>
      <c r="B10" s="23"/>
      <c r="C10" s="24" t="str">
        <f>[1]Invoice!B8</f>
        <v>5F, Block E xinghai business center ,</v>
      </c>
      <c r="D10" s="25"/>
      <c r="E10" s="26"/>
      <c r="F10" s="25"/>
      <c r="G10" s="27"/>
      <c r="H10" s="4"/>
      <c r="I10" s="20"/>
      <c r="J10" s="21" t="s">
        <v>9</v>
      </c>
      <c r="K10" s="21"/>
      <c r="L10" s="21"/>
      <c r="M10" s="21"/>
      <c r="N10" s="138"/>
      <c r="O10" s="138"/>
      <c r="P10" s="138"/>
      <c r="Q10" s="138"/>
      <c r="R10" s="139"/>
      <c r="S10" s="4"/>
      <c r="T10" s="4"/>
      <c r="U10" s="4"/>
      <c r="V10" s="4"/>
      <c r="W10" s="4"/>
      <c r="X10" s="4"/>
      <c r="Y10" s="4"/>
      <c r="Z10" s="4"/>
    </row>
    <row r="11" spans="1:26" ht="15.75">
      <c r="A11" s="22"/>
      <c r="B11" s="28"/>
      <c r="C11" s="24" t="str">
        <f>[1]Invoice!B9</f>
        <v>#99 North  Jinling  Rd, CZ, JS,China</v>
      </c>
      <c r="D11" s="25"/>
      <c r="E11" s="26"/>
      <c r="F11" s="25"/>
      <c r="G11" s="27"/>
      <c r="H11" s="4"/>
      <c r="I11" s="29"/>
      <c r="J11" s="30"/>
      <c r="K11" s="30"/>
      <c r="L11" s="30"/>
      <c r="M11" s="30"/>
      <c r="N11" s="140"/>
      <c r="O11" s="140"/>
      <c r="P11" s="140"/>
      <c r="Q11" s="140"/>
      <c r="R11" s="141"/>
      <c r="S11" s="4"/>
      <c r="T11" s="4"/>
      <c r="U11" s="4"/>
      <c r="V11" s="4"/>
      <c r="W11" s="4"/>
      <c r="X11" s="4"/>
      <c r="Y11" s="4"/>
      <c r="Z11" s="4"/>
    </row>
    <row r="12" spans="1:26" ht="15.75">
      <c r="A12" s="31"/>
      <c r="B12" s="32"/>
      <c r="C12" s="33"/>
      <c r="D12" s="34"/>
      <c r="E12" s="35"/>
      <c r="F12" s="34"/>
      <c r="G12" s="36"/>
      <c r="H12" s="37"/>
      <c r="I12" s="38"/>
      <c r="J12" s="39"/>
      <c r="K12" s="40"/>
      <c r="L12" s="40"/>
      <c r="M12" s="40"/>
      <c r="N12" s="41"/>
      <c r="O12" s="41"/>
      <c r="P12" s="41"/>
      <c r="Q12" s="41"/>
      <c r="R12" s="41"/>
      <c r="S12" s="42"/>
      <c r="T12" s="42"/>
      <c r="U12" s="42"/>
      <c r="V12" s="42"/>
      <c r="W12" s="42"/>
      <c r="X12" s="42"/>
      <c r="Y12" s="42"/>
      <c r="Z12" s="42"/>
    </row>
    <row r="13" spans="1:26" ht="13.5" customHeight="1">
      <c r="A13" s="37"/>
      <c r="B13" s="43"/>
      <c r="C13" s="37"/>
      <c r="D13" s="37"/>
      <c r="E13" s="43"/>
      <c r="F13" s="37"/>
      <c r="G13" s="44"/>
      <c r="H13" s="37"/>
      <c r="I13" s="43"/>
      <c r="J13" s="37"/>
      <c r="K13" s="45" t="s">
        <v>16</v>
      </c>
      <c r="L13" s="46" t="s">
        <v>17</v>
      </c>
      <c r="M13" s="47"/>
      <c r="N13" s="15"/>
      <c r="O13" s="15"/>
      <c r="P13" s="45" t="s">
        <v>18</v>
      </c>
      <c r="Q13" s="15" t="s">
        <v>6</v>
      </c>
      <c r="R13" s="15"/>
      <c r="S13" s="48"/>
      <c r="T13" s="48"/>
      <c r="U13" s="48"/>
      <c r="V13" s="49"/>
    </row>
    <row r="14" spans="1:26" ht="15" customHeight="1">
      <c r="A14" s="122" t="s">
        <v>19</v>
      </c>
      <c r="B14" s="123"/>
      <c r="C14" s="123"/>
      <c r="D14" s="124" t="s">
        <v>109</v>
      </c>
      <c r="E14" s="123"/>
      <c r="F14" s="124"/>
      <c r="G14" s="124"/>
      <c r="H14" s="124"/>
      <c r="I14" s="125"/>
      <c r="J14" s="37"/>
      <c r="K14" s="50"/>
      <c r="L14" s="51" t="s">
        <v>20</v>
      </c>
      <c r="M14" s="51"/>
      <c r="N14" s="21"/>
      <c r="O14" s="21"/>
      <c r="P14" s="50"/>
      <c r="Q14" s="21" t="s">
        <v>7</v>
      </c>
      <c r="R14" s="21"/>
      <c r="S14" s="37"/>
      <c r="T14" s="37"/>
      <c r="U14" s="37"/>
      <c r="V14" s="52"/>
    </row>
    <row r="15" spans="1:26" ht="15" customHeight="1">
      <c r="A15" s="122" t="s">
        <v>21</v>
      </c>
      <c r="B15" s="123"/>
      <c r="C15" s="123"/>
      <c r="D15" s="124"/>
      <c r="E15" s="123"/>
      <c r="F15" s="124"/>
      <c r="G15" s="124"/>
      <c r="H15" s="124"/>
      <c r="I15" s="125"/>
      <c r="J15" s="37"/>
      <c r="K15" s="50"/>
      <c r="L15" s="53" t="s">
        <v>22</v>
      </c>
      <c r="M15" s="51"/>
      <c r="N15" s="21"/>
      <c r="O15" s="21"/>
      <c r="P15" s="50"/>
      <c r="Q15" s="21" t="s">
        <v>8</v>
      </c>
      <c r="R15" s="21"/>
      <c r="S15" s="37"/>
      <c r="T15" s="37"/>
      <c r="U15" s="37"/>
      <c r="V15" s="52"/>
    </row>
    <row r="16" spans="1:26" ht="15" customHeight="1">
      <c r="A16" s="122" t="s">
        <v>23</v>
      </c>
      <c r="B16" s="123"/>
      <c r="C16" s="123"/>
      <c r="D16" s="124"/>
      <c r="E16" s="123"/>
      <c r="F16" s="124"/>
      <c r="G16" s="124"/>
      <c r="H16" s="124"/>
      <c r="I16" s="125"/>
      <c r="J16" s="37"/>
      <c r="K16" s="50"/>
      <c r="L16" s="51" t="s">
        <v>24</v>
      </c>
      <c r="M16" s="51"/>
      <c r="N16" s="21"/>
      <c r="O16" s="21"/>
      <c r="P16" s="50"/>
      <c r="Q16" s="21" t="s">
        <v>9</v>
      </c>
      <c r="R16" s="21"/>
      <c r="S16" s="37"/>
      <c r="T16" s="37"/>
      <c r="U16" s="37"/>
      <c r="V16" s="52"/>
    </row>
    <row r="17" spans="1:27" ht="15" customHeight="1">
      <c r="A17" s="122" t="s">
        <v>25</v>
      </c>
      <c r="B17" s="123"/>
      <c r="C17" s="123"/>
      <c r="D17" s="124" t="s">
        <v>26</v>
      </c>
      <c r="E17" s="123"/>
      <c r="F17" s="124"/>
      <c r="G17" s="124"/>
      <c r="H17" s="124"/>
      <c r="I17" s="125"/>
      <c r="J17" s="37"/>
      <c r="K17" s="54"/>
      <c r="L17" s="55"/>
      <c r="M17" s="55"/>
      <c r="N17" s="30"/>
      <c r="O17" s="30"/>
      <c r="P17" s="54"/>
      <c r="Q17" s="145"/>
      <c r="R17" s="145"/>
      <c r="S17" s="56"/>
      <c r="T17" s="56"/>
      <c r="U17" s="56"/>
      <c r="V17" s="57"/>
    </row>
    <row r="19" spans="1:27" ht="25.5">
      <c r="F19" s="58"/>
      <c r="G19" s="59"/>
      <c r="K19" s="60" t="s">
        <v>27</v>
      </c>
      <c r="L19" s="61" t="s">
        <v>10</v>
      </c>
      <c r="M19" s="62" t="s">
        <v>28</v>
      </c>
      <c r="N19" s="61" t="s">
        <v>29</v>
      </c>
      <c r="O19" s="61" t="s">
        <v>30</v>
      </c>
      <c r="P19" s="61" t="s">
        <v>31</v>
      </c>
      <c r="Q19" s="61" t="s">
        <v>32</v>
      </c>
      <c r="R19" s="61" t="s">
        <v>33</v>
      </c>
      <c r="S19" s="61" t="s">
        <v>34</v>
      </c>
      <c r="T19" s="61" t="s">
        <v>35</v>
      </c>
      <c r="U19" s="61" t="s">
        <v>36</v>
      </c>
      <c r="V19" s="61" t="s">
        <v>37</v>
      </c>
      <c r="W19" s="61" t="s">
        <v>38</v>
      </c>
      <c r="X19" s="61"/>
      <c r="Y19" s="61" t="s">
        <v>39</v>
      </c>
      <c r="Z19" s="63" t="s">
        <v>40</v>
      </c>
    </row>
    <row r="20" spans="1:27" s="1" customFormat="1" ht="26.25" customHeight="1">
      <c r="F20" s="64"/>
      <c r="G20" s="65"/>
      <c r="J20" s="64"/>
      <c r="K20" s="107" t="s">
        <v>103</v>
      </c>
      <c r="L20" s="66" t="s">
        <v>99</v>
      </c>
      <c r="M20" s="67" t="s">
        <v>101</v>
      </c>
      <c r="N20" s="68"/>
      <c r="O20" s="68">
        <v>16</v>
      </c>
      <c r="P20" s="68">
        <v>16</v>
      </c>
      <c r="Q20" s="68">
        <v>32</v>
      </c>
      <c r="R20" s="68">
        <v>32</v>
      </c>
      <c r="S20" s="68">
        <v>32</v>
      </c>
      <c r="T20" s="68">
        <v>16</v>
      </c>
      <c r="U20" s="68">
        <v>16</v>
      </c>
      <c r="V20" s="68"/>
      <c r="W20" s="69"/>
      <c r="X20" s="70"/>
      <c r="Y20" s="71">
        <f t="shared" ref="Y20:Y23" si="0">SUM(N20:W20)</f>
        <v>160</v>
      </c>
      <c r="Z20" s="72">
        <f>VLOOKUP(A27,$A$26:$AA$74,27,FALSE)</f>
        <v>148.80000000000001</v>
      </c>
      <c r="AA20" s="73"/>
    </row>
    <row r="21" spans="1:27" s="1" customFormat="1" ht="26.25" customHeight="1">
      <c r="F21" s="64"/>
      <c r="G21" s="65"/>
      <c r="J21" s="64"/>
      <c r="K21" s="107" t="s">
        <v>103</v>
      </c>
      <c r="L21" s="66" t="s">
        <v>104</v>
      </c>
      <c r="M21" s="67" t="s">
        <v>101</v>
      </c>
      <c r="N21" s="68"/>
      <c r="O21" s="68"/>
      <c r="P21" s="68">
        <v>45</v>
      </c>
      <c r="Q21" s="68">
        <v>45</v>
      </c>
      <c r="R21" s="68">
        <v>45</v>
      </c>
      <c r="S21" s="68">
        <v>45</v>
      </c>
      <c r="T21" s="68">
        <v>45</v>
      </c>
      <c r="U21" s="68"/>
      <c r="V21" s="69"/>
      <c r="W21" s="69"/>
      <c r="X21" s="70"/>
      <c r="Y21" s="71">
        <f t="shared" si="0"/>
        <v>225</v>
      </c>
      <c r="Z21" s="72">
        <f>VLOOKUP(A28,$A$26:$AA$74,27,FALSE)</f>
        <v>220.5</v>
      </c>
      <c r="AA21" s="73"/>
    </row>
    <row r="22" spans="1:27" s="1" customFormat="1" ht="26.25" customHeight="1" thickBot="1">
      <c r="F22" s="64"/>
      <c r="G22" s="65"/>
      <c r="J22" s="64"/>
      <c r="K22" s="107" t="s">
        <v>103</v>
      </c>
      <c r="L22" s="66" t="s">
        <v>105</v>
      </c>
      <c r="M22" s="67" t="s">
        <v>101</v>
      </c>
      <c r="N22" s="68">
        <v>15</v>
      </c>
      <c r="O22" s="68">
        <v>25</v>
      </c>
      <c r="P22" s="68">
        <v>55</v>
      </c>
      <c r="Q22" s="68">
        <v>70</v>
      </c>
      <c r="R22" s="68">
        <v>90</v>
      </c>
      <c r="S22" s="68">
        <v>60</v>
      </c>
      <c r="T22" s="68">
        <v>40</v>
      </c>
      <c r="U22" s="68">
        <v>35</v>
      </c>
      <c r="V22" s="68">
        <v>20</v>
      </c>
      <c r="W22" s="69"/>
      <c r="X22" s="70"/>
      <c r="Y22" s="71">
        <f t="shared" si="0"/>
        <v>410</v>
      </c>
      <c r="Z22" s="72">
        <f>VLOOKUP(A29,$A$26:$AA$74,27,FALSE)</f>
        <v>375.7999999999999</v>
      </c>
      <c r="AA22" s="73"/>
    </row>
    <row r="23" spans="1:27" s="1" customFormat="1" ht="26.25" customHeight="1" thickBot="1">
      <c r="F23" s="64"/>
      <c r="G23" s="65"/>
      <c r="J23" s="64"/>
      <c r="K23" s="107" t="s">
        <v>103</v>
      </c>
      <c r="L23" s="66" t="s">
        <v>106</v>
      </c>
      <c r="M23" s="67" t="s">
        <v>107</v>
      </c>
      <c r="N23" s="68">
        <v>12</v>
      </c>
      <c r="O23" s="68">
        <v>16</v>
      </c>
      <c r="P23" s="68">
        <v>36</v>
      </c>
      <c r="Q23" s="68">
        <v>45</v>
      </c>
      <c r="R23" s="68">
        <v>58</v>
      </c>
      <c r="S23" s="68">
        <v>36</v>
      </c>
      <c r="T23" s="68">
        <v>27</v>
      </c>
      <c r="U23" s="68">
        <v>20</v>
      </c>
      <c r="V23" s="68">
        <v>11</v>
      </c>
      <c r="W23" s="69"/>
      <c r="X23" s="70"/>
      <c r="Y23" s="71">
        <f t="shared" si="0"/>
        <v>261</v>
      </c>
      <c r="Z23" s="72">
        <v>176.35</v>
      </c>
      <c r="AA23" s="73"/>
    </row>
    <row r="24" spans="1:27" s="1" customFormat="1" ht="26.25" customHeight="1">
      <c r="K24" s="74"/>
      <c r="L24" s="75"/>
      <c r="M24" s="75"/>
      <c r="N24" s="76"/>
      <c r="O24" s="76"/>
      <c r="P24" s="76"/>
      <c r="Q24" s="76"/>
      <c r="R24" s="76"/>
      <c r="S24" s="77"/>
      <c r="T24" s="77"/>
      <c r="U24" s="77"/>
      <c r="V24" s="77"/>
      <c r="W24" s="77"/>
      <c r="X24" s="77"/>
      <c r="Y24" s="78">
        <f>SUM(Y20:Y23)</f>
        <v>1056</v>
      </c>
      <c r="Z24" s="79">
        <f>SUM(Z20:Z23)</f>
        <v>921.44999999999993</v>
      </c>
    </row>
    <row r="25" spans="1:27" s="1" customFormat="1" ht="14.25" customHeight="1">
      <c r="Y25" s="80"/>
    </row>
    <row r="26" spans="1:27" ht="49.5" customHeight="1" thickBot="1">
      <c r="A26" s="81" t="s">
        <v>10</v>
      </c>
      <c r="B26" s="82" t="s">
        <v>28</v>
      </c>
      <c r="C26" s="83" t="s">
        <v>41</v>
      </c>
      <c r="D26" s="84" t="s">
        <v>42</v>
      </c>
      <c r="E26" s="83" t="s">
        <v>11</v>
      </c>
      <c r="F26" s="85" t="s">
        <v>43</v>
      </c>
      <c r="G26" s="86" t="s">
        <v>44</v>
      </c>
      <c r="H26" s="87" t="s">
        <v>45</v>
      </c>
      <c r="I26" s="86" t="s">
        <v>46</v>
      </c>
      <c r="J26" s="83" t="s">
        <v>12</v>
      </c>
      <c r="K26" s="88" t="s">
        <v>47</v>
      </c>
      <c r="L26" s="88" t="s">
        <v>29</v>
      </c>
      <c r="M26" s="88" t="s">
        <v>30</v>
      </c>
      <c r="N26" s="88" t="s">
        <v>31</v>
      </c>
      <c r="O26" s="88" t="s">
        <v>32</v>
      </c>
      <c r="P26" s="88" t="s">
        <v>33</v>
      </c>
      <c r="Q26" s="88" t="s">
        <v>34</v>
      </c>
      <c r="R26" s="88" t="s">
        <v>35</v>
      </c>
      <c r="S26" s="88" t="s">
        <v>36</v>
      </c>
      <c r="T26" s="88" t="s">
        <v>37</v>
      </c>
      <c r="U26" s="88" t="s">
        <v>38</v>
      </c>
      <c r="V26" s="88" t="s">
        <v>48</v>
      </c>
      <c r="W26" s="89" t="s">
        <v>49</v>
      </c>
      <c r="X26" s="88" t="s">
        <v>50</v>
      </c>
      <c r="Y26" s="88" t="s">
        <v>51</v>
      </c>
      <c r="Z26" s="90" t="s">
        <v>52</v>
      </c>
    </row>
    <row r="27" spans="1:27" s="2" customFormat="1" ht="24.95" customHeight="1" thickBot="1">
      <c r="A27" s="66" t="s">
        <v>99</v>
      </c>
      <c r="B27" s="67" t="s">
        <v>101</v>
      </c>
      <c r="C27" s="126" t="s">
        <v>100</v>
      </c>
      <c r="D27" s="126" t="s">
        <v>102</v>
      </c>
      <c r="E27" s="142" t="s">
        <v>110</v>
      </c>
      <c r="F27" s="109" t="s">
        <v>111</v>
      </c>
      <c r="G27" s="91"/>
      <c r="H27" s="92" t="s">
        <v>53</v>
      </c>
      <c r="I27" s="93" t="s">
        <v>54</v>
      </c>
      <c r="J27" s="94" t="s">
        <v>13</v>
      </c>
      <c r="K27" s="132" t="s">
        <v>103</v>
      </c>
      <c r="L27" s="94"/>
      <c r="M27" s="94">
        <v>1</v>
      </c>
      <c r="N27" s="95">
        <v>1</v>
      </c>
      <c r="O27" s="95">
        <v>2</v>
      </c>
      <c r="P27" s="95">
        <v>2</v>
      </c>
      <c r="Q27" s="95">
        <v>2</v>
      </c>
      <c r="R27" s="95">
        <v>1</v>
      </c>
      <c r="S27" s="95">
        <v>1</v>
      </c>
      <c r="T27" s="95"/>
      <c r="U27" s="95"/>
      <c r="V27" s="94">
        <v>16</v>
      </c>
      <c r="W27" s="96">
        <f>SUM(L27:U27)*V27</f>
        <v>160</v>
      </c>
      <c r="X27" s="97">
        <f t="shared" ref="X27:X58" si="1">Z27+(V27*0.5)</f>
        <v>148.80000000000001</v>
      </c>
      <c r="Y27" s="94" t="s">
        <v>59</v>
      </c>
      <c r="Z27" s="97">
        <f>W27*0.88</f>
        <v>140.80000000000001</v>
      </c>
      <c r="AA27" s="98">
        <f>X27</f>
        <v>148.80000000000001</v>
      </c>
    </row>
    <row r="28" spans="1:27" s="2" customFormat="1" ht="24.95" customHeight="1" thickBot="1">
      <c r="A28" s="66" t="s">
        <v>104</v>
      </c>
      <c r="B28" s="67" t="s">
        <v>101</v>
      </c>
      <c r="C28" s="127"/>
      <c r="D28" s="127"/>
      <c r="E28" s="143"/>
      <c r="F28" s="109" t="s">
        <v>112</v>
      </c>
      <c r="G28" s="91"/>
      <c r="H28" s="92" t="s">
        <v>53</v>
      </c>
      <c r="I28" s="93" t="s">
        <v>55</v>
      </c>
      <c r="J28" s="94" t="s">
        <v>13</v>
      </c>
      <c r="K28" s="133"/>
      <c r="L28" s="94"/>
      <c r="M28" s="94"/>
      <c r="N28" s="95">
        <v>1</v>
      </c>
      <c r="O28" s="95">
        <v>1</v>
      </c>
      <c r="P28" s="95">
        <v>1</v>
      </c>
      <c r="Q28" s="95">
        <v>1</v>
      </c>
      <c r="R28" s="95">
        <v>1</v>
      </c>
      <c r="S28" s="95"/>
      <c r="T28" s="95"/>
      <c r="U28" s="95"/>
      <c r="V28" s="94">
        <v>45</v>
      </c>
      <c r="W28" s="96">
        <f>SUM(L28:U28)*V28</f>
        <v>225</v>
      </c>
      <c r="X28" s="97">
        <f t="shared" si="1"/>
        <v>220.5</v>
      </c>
      <c r="Y28" s="94" t="s">
        <v>68</v>
      </c>
      <c r="Z28" s="97">
        <f t="shared" ref="Z28:Z58" si="2">W28*0.88</f>
        <v>198</v>
      </c>
      <c r="AA28" s="98">
        <f>X28</f>
        <v>220.5</v>
      </c>
    </row>
    <row r="29" spans="1:27" s="2" customFormat="1" ht="24.95" customHeight="1" thickBot="1">
      <c r="A29" s="132" t="s">
        <v>113</v>
      </c>
      <c r="B29" s="129" t="s">
        <v>101</v>
      </c>
      <c r="C29" s="127"/>
      <c r="D29" s="127"/>
      <c r="E29" s="143"/>
      <c r="F29" s="99"/>
      <c r="G29" s="100" t="s">
        <v>114</v>
      </c>
      <c r="H29" s="92" t="s">
        <v>56</v>
      </c>
      <c r="I29" s="93" t="s">
        <v>57</v>
      </c>
      <c r="J29" s="94" t="s">
        <v>13</v>
      </c>
      <c r="K29" s="133"/>
      <c r="L29" s="101">
        <v>15</v>
      </c>
      <c r="M29" s="102"/>
      <c r="N29" s="102"/>
      <c r="O29" s="102"/>
      <c r="P29" s="102"/>
      <c r="Q29" s="102"/>
      <c r="R29" s="102"/>
      <c r="S29" s="102"/>
      <c r="T29" s="102"/>
      <c r="U29" s="95"/>
      <c r="V29" s="94">
        <v>1</v>
      </c>
      <c r="W29" s="96">
        <f t="shared" ref="W29:W33" si="3">SUM(L29:U29)</f>
        <v>15</v>
      </c>
      <c r="X29" s="97">
        <f t="shared" si="1"/>
        <v>13.7</v>
      </c>
      <c r="Y29" s="94" t="s">
        <v>69</v>
      </c>
      <c r="Z29" s="97">
        <f t="shared" si="2"/>
        <v>13.2</v>
      </c>
      <c r="AA29" s="98">
        <f>SUM(X29:X58)</f>
        <v>375.7999999999999</v>
      </c>
    </row>
    <row r="30" spans="1:27" s="2" customFormat="1" ht="24.95" customHeight="1" thickBot="1">
      <c r="A30" s="133"/>
      <c r="B30" s="130"/>
      <c r="C30" s="127"/>
      <c r="D30" s="127"/>
      <c r="E30" s="143"/>
      <c r="F30" s="99"/>
      <c r="G30" s="100" t="s">
        <v>115</v>
      </c>
      <c r="H30" s="92" t="s">
        <v>56</v>
      </c>
      <c r="I30" s="93" t="s">
        <v>58</v>
      </c>
      <c r="J30" s="94" t="s">
        <v>13</v>
      </c>
      <c r="K30" s="133"/>
      <c r="L30" s="103"/>
      <c r="M30" s="102">
        <v>12</v>
      </c>
      <c r="N30" s="102"/>
      <c r="O30" s="102"/>
      <c r="P30" s="102"/>
      <c r="Q30" s="102"/>
      <c r="R30" s="102"/>
      <c r="S30" s="102"/>
      <c r="T30" s="102"/>
      <c r="U30" s="95"/>
      <c r="V30" s="94">
        <v>1</v>
      </c>
      <c r="W30" s="96">
        <f t="shared" si="3"/>
        <v>12</v>
      </c>
      <c r="X30" s="97">
        <f t="shared" si="1"/>
        <v>11.06</v>
      </c>
      <c r="Y30" s="94" t="s">
        <v>59</v>
      </c>
      <c r="Z30" s="97">
        <f t="shared" si="2"/>
        <v>10.56</v>
      </c>
    </row>
    <row r="31" spans="1:27" s="2" customFormat="1" ht="24.95" customHeight="1" thickBot="1">
      <c r="A31" s="133"/>
      <c r="B31" s="130"/>
      <c r="C31" s="127"/>
      <c r="D31" s="127"/>
      <c r="E31" s="143"/>
      <c r="F31" s="99"/>
      <c r="G31" s="100" t="s">
        <v>115</v>
      </c>
      <c r="H31" s="92" t="s">
        <v>56</v>
      </c>
      <c r="I31" s="93" t="s">
        <v>60</v>
      </c>
      <c r="J31" s="94" t="s">
        <v>13</v>
      </c>
      <c r="K31" s="133"/>
      <c r="L31" s="103"/>
      <c r="M31" s="102">
        <v>13</v>
      </c>
      <c r="N31" s="102"/>
      <c r="O31" s="102"/>
      <c r="P31" s="102"/>
      <c r="Q31" s="102"/>
      <c r="R31" s="102"/>
      <c r="S31" s="102"/>
      <c r="T31" s="102"/>
      <c r="U31" s="95"/>
      <c r="V31" s="94">
        <v>1</v>
      </c>
      <c r="W31" s="96">
        <f t="shared" si="3"/>
        <v>13</v>
      </c>
      <c r="X31" s="97">
        <f t="shared" si="1"/>
        <v>11.94</v>
      </c>
      <c r="Y31" s="94" t="s">
        <v>69</v>
      </c>
      <c r="Z31" s="97">
        <f t="shared" si="2"/>
        <v>11.44</v>
      </c>
    </row>
    <row r="32" spans="1:27" s="2" customFormat="1" ht="24.95" customHeight="1" thickBot="1">
      <c r="A32" s="133"/>
      <c r="B32" s="130"/>
      <c r="C32" s="127"/>
      <c r="D32" s="127"/>
      <c r="E32" s="143"/>
      <c r="F32" s="99"/>
      <c r="G32" s="100" t="s">
        <v>116</v>
      </c>
      <c r="H32" s="92" t="s">
        <v>56</v>
      </c>
      <c r="I32" s="93" t="s">
        <v>61</v>
      </c>
      <c r="J32" s="94" t="s">
        <v>13</v>
      </c>
      <c r="K32" s="133"/>
      <c r="L32" s="103"/>
      <c r="M32" s="102"/>
      <c r="N32" s="102">
        <v>13</v>
      </c>
      <c r="O32" s="102"/>
      <c r="P32" s="102"/>
      <c r="Q32" s="102"/>
      <c r="R32" s="102"/>
      <c r="S32" s="102"/>
      <c r="T32" s="102"/>
      <c r="U32" s="95"/>
      <c r="V32" s="94">
        <v>1</v>
      </c>
      <c r="W32" s="96">
        <f t="shared" si="3"/>
        <v>13</v>
      </c>
      <c r="X32" s="97">
        <f t="shared" si="1"/>
        <v>11.94</v>
      </c>
      <c r="Y32" s="94" t="s">
        <v>69</v>
      </c>
      <c r="Z32" s="97">
        <f t="shared" si="2"/>
        <v>11.44</v>
      </c>
    </row>
    <row r="33" spans="1:26" s="2" customFormat="1" ht="24.95" customHeight="1" thickBot="1">
      <c r="A33" s="133"/>
      <c r="B33" s="130"/>
      <c r="C33" s="127"/>
      <c r="D33" s="127"/>
      <c r="E33" s="143"/>
      <c r="F33" s="99"/>
      <c r="G33" s="100" t="s">
        <v>116</v>
      </c>
      <c r="H33" s="92" t="s">
        <v>56</v>
      </c>
      <c r="I33" s="93" t="s">
        <v>62</v>
      </c>
      <c r="J33" s="94" t="s">
        <v>13</v>
      </c>
      <c r="K33" s="133"/>
      <c r="L33" s="103"/>
      <c r="M33" s="102"/>
      <c r="N33" s="102">
        <v>14</v>
      </c>
      <c r="O33" s="102"/>
      <c r="P33" s="102"/>
      <c r="Q33" s="102"/>
      <c r="R33" s="102"/>
      <c r="S33" s="102"/>
      <c r="T33" s="102"/>
      <c r="U33" s="95"/>
      <c r="V33" s="94">
        <v>1</v>
      </c>
      <c r="W33" s="96">
        <f t="shared" si="3"/>
        <v>14</v>
      </c>
      <c r="X33" s="97">
        <f t="shared" si="1"/>
        <v>12.82</v>
      </c>
      <c r="Y33" s="94" t="s">
        <v>69</v>
      </c>
      <c r="Z33" s="97">
        <f t="shared" si="2"/>
        <v>12.32</v>
      </c>
    </row>
    <row r="34" spans="1:26" s="2" customFormat="1" ht="24.95" customHeight="1" thickBot="1">
      <c r="A34" s="133"/>
      <c r="B34" s="130"/>
      <c r="C34" s="127"/>
      <c r="D34" s="127"/>
      <c r="E34" s="143"/>
      <c r="F34" s="99"/>
      <c r="G34" s="100" t="s">
        <v>116</v>
      </c>
      <c r="H34" s="92" t="s">
        <v>56</v>
      </c>
      <c r="I34" s="93" t="s">
        <v>63</v>
      </c>
      <c r="J34" s="94" t="s">
        <v>13</v>
      </c>
      <c r="K34" s="133"/>
      <c r="L34" s="103"/>
      <c r="M34" s="102"/>
      <c r="N34" s="102">
        <v>14</v>
      </c>
      <c r="O34" s="102"/>
      <c r="P34" s="102"/>
      <c r="Q34" s="102"/>
      <c r="R34" s="102"/>
      <c r="S34" s="102"/>
      <c r="T34" s="102"/>
      <c r="U34" s="95"/>
      <c r="V34" s="94">
        <v>1</v>
      </c>
      <c r="W34" s="96">
        <f t="shared" ref="W34:W58" si="4">SUM(L34:U34)</f>
        <v>14</v>
      </c>
      <c r="X34" s="97">
        <f t="shared" si="1"/>
        <v>12.82</v>
      </c>
      <c r="Y34" s="94" t="s">
        <v>69</v>
      </c>
      <c r="Z34" s="97">
        <f t="shared" si="2"/>
        <v>12.32</v>
      </c>
    </row>
    <row r="35" spans="1:26" s="2" customFormat="1" ht="24.95" customHeight="1" thickBot="1">
      <c r="A35" s="133"/>
      <c r="B35" s="130"/>
      <c r="C35" s="127"/>
      <c r="D35" s="127"/>
      <c r="E35" s="143"/>
      <c r="F35" s="99"/>
      <c r="G35" s="100" t="s">
        <v>116</v>
      </c>
      <c r="H35" s="92" t="s">
        <v>56</v>
      </c>
      <c r="I35" s="93" t="s">
        <v>64</v>
      </c>
      <c r="J35" s="94" t="s">
        <v>13</v>
      </c>
      <c r="K35" s="133"/>
      <c r="L35" s="103"/>
      <c r="M35" s="102"/>
      <c r="N35" s="102">
        <v>14</v>
      </c>
      <c r="O35" s="102"/>
      <c r="P35" s="102"/>
      <c r="Q35" s="102"/>
      <c r="R35" s="102"/>
      <c r="S35" s="102"/>
      <c r="T35" s="102"/>
      <c r="U35" s="95"/>
      <c r="V35" s="94">
        <v>1</v>
      </c>
      <c r="W35" s="96">
        <f t="shared" si="4"/>
        <v>14</v>
      </c>
      <c r="X35" s="97">
        <f t="shared" si="1"/>
        <v>12.82</v>
      </c>
      <c r="Y35" s="94" t="s">
        <v>69</v>
      </c>
      <c r="Z35" s="97">
        <f t="shared" si="2"/>
        <v>12.32</v>
      </c>
    </row>
    <row r="36" spans="1:26" s="2" customFormat="1" ht="24.95" customHeight="1" thickBot="1">
      <c r="A36" s="133"/>
      <c r="B36" s="130"/>
      <c r="C36" s="127"/>
      <c r="D36" s="127"/>
      <c r="E36" s="143"/>
      <c r="F36" s="99"/>
      <c r="G36" s="100" t="s">
        <v>117</v>
      </c>
      <c r="H36" s="92" t="s">
        <v>56</v>
      </c>
      <c r="I36" s="93" t="s">
        <v>65</v>
      </c>
      <c r="J36" s="94" t="s">
        <v>13</v>
      </c>
      <c r="K36" s="133"/>
      <c r="L36" s="103"/>
      <c r="M36" s="102"/>
      <c r="N36" s="102"/>
      <c r="O36" s="102">
        <v>14</v>
      </c>
      <c r="P36" s="102"/>
      <c r="Q36" s="102"/>
      <c r="R36" s="102"/>
      <c r="S36" s="102"/>
      <c r="T36" s="102"/>
      <c r="U36" s="95"/>
      <c r="V36" s="94">
        <v>1</v>
      </c>
      <c r="W36" s="96">
        <f t="shared" si="4"/>
        <v>14</v>
      </c>
      <c r="X36" s="97">
        <f t="shared" si="1"/>
        <v>12.82</v>
      </c>
      <c r="Y36" s="94" t="s">
        <v>69</v>
      </c>
      <c r="Z36" s="97">
        <f t="shared" si="2"/>
        <v>12.32</v>
      </c>
    </row>
    <row r="37" spans="1:26" s="2" customFormat="1" ht="24.95" customHeight="1" thickBot="1">
      <c r="A37" s="133"/>
      <c r="B37" s="130"/>
      <c r="C37" s="127"/>
      <c r="D37" s="127"/>
      <c r="E37" s="143"/>
      <c r="F37" s="99"/>
      <c r="G37" s="100" t="s">
        <v>117</v>
      </c>
      <c r="H37" s="92" t="s">
        <v>56</v>
      </c>
      <c r="I37" s="93" t="s">
        <v>66</v>
      </c>
      <c r="J37" s="94" t="s">
        <v>13</v>
      </c>
      <c r="K37" s="133"/>
      <c r="L37" s="103"/>
      <c r="M37" s="102"/>
      <c r="N37" s="102"/>
      <c r="O37" s="102">
        <v>14</v>
      </c>
      <c r="P37" s="102"/>
      <c r="Q37" s="102"/>
      <c r="R37" s="102"/>
      <c r="S37" s="102"/>
      <c r="T37" s="102"/>
      <c r="U37" s="95"/>
      <c r="V37" s="94">
        <v>1</v>
      </c>
      <c r="W37" s="96">
        <f t="shared" si="4"/>
        <v>14</v>
      </c>
      <c r="X37" s="97">
        <f t="shared" si="1"/>
        <v>12.82</v>
      </c>
      <c r="Y37" s="94" t="s">
        <v>69</v>
      </c>
      <c r="Z37" s="97">
        <f t="shared" si="2"/>
        <v>12.32</v>
      </c>
    </row>
    <row r="38" spans="1:26" s="2" customFormat="1" ht="24.95" customHeight="1" thickBot="1">
      <c r="A38" s="133"/>
      <c r="B38" s="130"/>
      <c r="C38" s="127"/>
      <c r="D38" s="127"/>
      <c r="E38" s="143"/>
      <c r="F38" s="99"/>
      <c r="G38" s="100" t="s">
        <v>117</v>
      </c>
      <c r="H38" s="92" t="s">
        <v>56</v>
      </c>
      <c r="I38" s="93" t="s">
        <v>67</v>
      </c>
      <c r="J38" s="94" t="s">
        <v>13</v>
      </c>
      <c r="K38" s="133"/>
      <c r="L38" s="103"/>
      <c r="M38" s="102"/>
      <c r="N38" s="102"/>
      <c r="O38" s="102">
        <v>14</v>
      </c>
      <c r="P38" s="102"/>
      <c r="Q38" s="102"/>
      <c r="R38" s="102"/>
      <c r="S38" s="102"/>
      <c r="T38" s="102"/>
      <c r="U38" s="95"/>
      <c r="V38" s="94">
        <v>1</v>
      </c>
      <c r="W38" s="96">
        <f t="shared" si="4"/>
        <v>14</v>
      </c>
      <c r="X38" s="97">
        <f t="shared" si="1"/>
        <v>12.82</v>
      </c>
      <c r="Y38" s="94" t="s">
        <v>69</v>
      </c>
      <c r="Z38" s="97">
        <f t="shared" si="2"/>
        <v>12.32</v>
      </c>
    </row>
    <row r="39" spans="1:26" s="2" customFormat="1" ht="24.95" customHeight="1" thickBot="1">
      <c r="A39" s="133"/>
      <c r="B39" s="130"/>
      <c r="C39" s="127"/>
      <c r="D39" s="127"/>
      <c r="E39" s="143"/>
      <c r="F39" s="99"/>
      <c r="G39" s="100" t="s">
        <v>117</v>
      </c>
      <c r="H39" s="92" t="s">
        <v>56</v>
      </c>
      <c r="I39" s="93" t="s">
        <v>70</v>
      </c>
      <c r="J39" s="94" t="s">
        <v>13</v>
      </c>
      <c r="K39" s="133"/>
      <c r="L39" s="103"/>
      <c r="M39" s="102"/>
      <c r="N39" s="102"/>
      <c r="O39" s="102">
        <v>14</v>
      </c>
      <c r="P39" s="102"/>
      <c r="Q39" s="102"/>
      <c r="R39" s="102"/>
      <c r="S39" s="102"/>
      <c r="T39" s="102"/>
      <c r="U39" s="95"/>
      <c r="V39" s="94">
        <v>1</v>
      </c>
      <c r="W39" s="96">
        <f t="shared" si="4"/>
        <v>14</v>
      </c>
      <c r="X39" s="97">
        <f t="shared" si="1"/>
        <v>12.82</v>
      </c>
      <c r="Y39" s="94" t="s">
        <v>69</v>
      </c>
      <c r="Z39" s="97">
        <f t="shared" si="2"/>
        <v>12.32</v>
      </c>
    </row>
    <row r="40" spans="1:26" s="2" customFormat="1" ht="24.95" customHeight="1" thickBot="1">
      <c r="A40" s="133"/>
      <c r="B40" s="130"/>
      <c r="C40" s="127"/>
      <c r="D40" s="127"/>
      <c r="E40" s="143"/>
      <c r="F40" s="99"/>
      <c r="G40" s="100" t="s">
        <v>117</v>
      </c>
      <c r="H40" s="92" t="s">
        <v>56</v>
      </c>
      <c r="I40" s="93" t="s">
        <v>72</v>
      </c>
      <c r="J40" s="94" t="s">
        <v>13</v>
      </c>
      <c r="K40" s="133"/>
      <c r="L40" s="103"/>
      <c r="M40" s="102"/>
      <c r="N40" s="102"/>
      <c r="O40" s="102">
        <v>14</v>
      </c>
      <c r="P40" s="102"/>
      <c r="Q40" s="102"/>
      <c r="R40" s="102"/>
      <c r="S40" s="102"/>
      <c r="T40" s="102"/>
      <c r="U40" s="95"/>
      <c r="V40" s="94">
        <v>1</v>
      </c>
      <c r="W40" s="96">
        <f t="shared" si="4"/>
        <v>14</v>
      </c>
      <c r="X40" s="97">
        <f t="shared" si="1"/>
        <v>12.82</v>
      </c>
      <c r="Y40" s="94" t="s">
        <v>69</v>
      </c>
      <c r="Z40" s="97">
        <f t="shared" si="2"/>
        <v>12.32</v>
      </c>
    </row>
    <row r="41" spans="1:26" s="2" customFormat="1" ht="24.95" customHeight="1" thickBot="1">
      <c r="A41" s="133"/>
      <c r="B41" s="130"/>
      <c r="C41" s="127"/>
      <c r="D41" s="127"/>
      <c r="E41" s="143"/>
      <c r="F41" s="99"/>
      <c r="G41" s="100" t="s">
        <v>118</v>
      </c>
      <c r="H41" s="92" t="s">
        <v>56</v>
      </c>
      <c r="I41" s="93" t="s">
        <v>73</v>
      </c>
      <c r="J41" s="94" t="s">
        <v>13</v>
      </c>
      <c r="K41" s="133"/>
      <c r="L41" s="103"/>
      <c r="M41" s="102"/>
      <c r="N41" s="102"/>
      <c r="O41" s="102"/>
      <c r="P41" s="102">
        <v>15</v>
      </c>
      <c r="Q41" s="102"/>
      <c r="R41" s="102"/>
      <c r="S41" s="102"/>
      <c r="T41" s="102"/>
      <c r="U41" s="95"/>
      <c r="V41" s="94">
        <v>1</v>
      </c>
      <c r="W41" s="96">
        <f t="shared" si="4"/>
        <v>15</v>
      </c>
      <c r="X41" s="97">
        <f t="shared" si="1"/>
        <v>13.7</v>
      </c>
      <c r="Y41" s="94" t="s">
        <v>69</v>
      </c>
      <c r="Z41" s="97">
        <f t="shared" si="2"/>
        <v>13.2</v>
      </c>
    </row>
    <row r="42" spans="1:26" s="2" customFormat="1" ht="24.95" customHeight="1" thickBot="1">
      <c r="A42" s="133"/>
      <c r="B42" s="130"/>
      <c r="C42" s="127"/>
      <c r="D42" s="127"/>
      <c r="E42" s="143"/>
      <c r="F42" s="99"/>
      <c r="G42" s="100" t="s">
        <v>118</v>
      </c>
      <c r="H42" s="92" t="s">
        <v>56</v>
      </c>
      <c r="I42" s="93" t="s">
        <v>74</v>
      </c>
      <c r="J42" s="94" t="s">
        <v>13</v>
      </c>
      <c r="K42" s="133"/>
      <c r="L42" s="103"/>
      <c r="M42" s="102"/>
      <c r="N42" s="102"/>
      <c r="O42" s="102"/>
      <c r="P42" s="102">
        <v>15</v>
      </c>
      <c r="Q42" s="102"/>
      <c r="R42" s="102"/>
      <c r="S42" s="102"/>
      <c r="T42" s="102"/>
      <c r="U42" s="95"/>
      <c r="V42" s="94">
        <v>1</v>
      </c>
      <c r="W42" s="96">
        <f t="shared" si="4"/>
        <v>15</v>
      </c>
      <c r="X42" s="97">
        <f t="shared" si="1"/>
        <v>13.7</v>
      </c>
      <c r="Y42" s="94" t="s">
        <v>69</v>
      </c>
      <c r="Z42" s="97">
        <f t="shared" si="2"/>
        <v>13.2</v>
      </c>
    </row>
    <row r="43" spans="1:26" s="2" customFormat="1" ht="24.95" customHeight="1" thickBot="1">
      <c r="A43" s="133"/>
      <c r="B43" s="130"/>
      <c r="C43" s="127"/>
      <c r="D43" s="127"/>
      <c r="E43" s="143"/>
      <c r="F43" s="99"/>
      <c r="G43" s="100" t="s">
        <v>118</v>
      </c>
      <c r="H43" s="92" t="s">
        <v>56</v>
      </c>
      <c r="I43" s="93" t="s">
        <v>75</v>
      </c>
      <c r="J43" s="94" t="s">
        <v>13</v>
      </c>
      <c r="K43" s="133"/>
      <c r="L43" s="103"/>
      <c r="M43" s="102"/>
      <c r="N43" s="102"/>
      <c r="O43" s="102"/>
      <c r="P43" s="102">
        <v>15</v>
      </c>
      <c r="Q43" s="102"/>
      <c r="R43" s="102"/>
      <c r="S43" s="102"/>
      <c r="T43" s="102"/>
      <c r="U43" s="95"/>
      <c r="V43" s="94">
        <v>1</v>
      </c>
      <c r="W43" s="96">
        <f t="shared" si="4"/>
        <v>15</v>
      </c>
      <c r="X43" s="97">
        <f t="shared" si="1"/>
        <v>13.7</v>
      </c>
      <c r="Y43" s="94" t="s">
        <v>69</v>
      </c>
      <c r="Z43" s="97">
        <f t="shared" si="2"/>
        <v>13.2</v>
      </c>
    </row>
    <row r="44" spans="1:26" s="2" customFormat="1" ht="24.95" customHeight="1" thickBot="1">
      <c r="A44" s="133"/>
      <c r="B44" s="130"/>
      <c r="C44" s="127"/>
      <c r="D44" s="127"/>
      <c r="E44" s="143"/>
      <c r="F44" s="99"/>
      <c r="G44" s="100" t="s">
        <v>118</v>
      </c>
      <c r="H44" s="92" t="s">
        <v>56</v>
      </c>
      <c r="I44" s="93" t="s">
        <v>76</v>
      </c>
      <c r="J44" s="94" t="s">
        <v>13</v>
      </c>
      <c r="K44" s="133"/>
      <c r="L44" s="103"/>
      <c r="M44" s="102"/>
      <c r="N44" s="102"/>
      <c r="O44" s="102"/>
      <c r="P44" s="102">
        <v>15</v>
      </c>
      <c r="Q44" s="102"/>
      <c r="R44" s="102"/>
      <c r="S44" s="102"/>
      <c r="T44" s="102"/>
      <c r="U44" s="95"/>
      <c r="V44" s="94">
        <v>1</v>
      </c>
      <c r="W44" s="96">
        <f t="shared" si="4"/>
        <v>15</v>
      </c>
      <c r="X44" s="97">
        <f t="shared" si="1"/>
        <v>13.7</v>
      </c>
      <c r="Y44" s="94" t="s">
        <v>69</v>
      </c>
      <c r="Z44" s="97">
        <f t="shared" si="2"/>
        <v>13.2</v>
      </c>
    </row>
    <row r="45" spans="1:26" s="2" customFormat="1" ht="24.95" customHeight="1" thickBot="1">
      <c r="A45" s="133"/>
      <c r="B45" s="130"/>
      <c r="C45" s="127"/>
      <c r="D45" s="127"/>
      <c r="E45" s="143"/>
      <c r="F45" s="99"/>
      <c r="G45" s="100" t="s">
        <v>118</v>
      </c>
      <c r="H45" s="92" t="s">
        <v>56</v>
      </c>
      <c r="I45" s="93" t="s">
        <v>77</v>
      </c>
      <c r="J45" s="94" t="s">
        <v>13</v>
      </c>
      <c r="K45" s="133"/>
      <c r="L45" s="103"/>
      <c r="M45" s="102"/>
      <c r="N45" s="102"/>
      <c r="O45" s="102"/>
      <c r="P45" s="102">
        <v>15</v>
      </c>
      <c r="Q45" s="102"/>
      <c r="R45" s="102"/>
      <c r="S45" s="102"/>
      <c r="T45" s="102"/>
      <c r="U45" s="95"/>
      <c r="V45" s="94">
        <v>1</v>
      </c>
      <c r="W45" s="96">
        <f t="shared" si="4"/>
        <v>15</v>
      </c>
      <c r="X45" s="97">
        <f t="shared" si="1"/>
        <v>13.7</v>
      </c>
      <c r="Y45" s="94" t="s">
        <v>69</v>
      </c>
      <c r="Z45" s="97">
        <f t="shared" si="2"/>
        <v>13.2</v>
      </c>
    </row>
    <row r="46" spans="1:26" s="2" customFormat="1" ht="24.95" customHeight="1" thickBot="1">
      <c r="A46" s="133"/>
      <c r="B46" s="130"/>
      <c r="C46" s="127"/>
      <c r="D46" s="127"/>
      <c r="E46" s="143"/>
      <c r="F46" s="99"/>
      <c r="G46" s="110" t="s">
        <v>118</v>
      </c>
      <c r="H46" s="92" t="s">
        <v>56</v>
      </c>
      <c r="I46" s="93" t="s">
        <v>78</v>
      </c>
      <c r="J46" s="94" t="s">
        <v>13</v>
      </c>
      <c r="K46" s="133"/>
      <c r="L46" s="111"/>
      <c r="M46" s="112"/>
      <c r="N46" s="112"/>
      <c r="O46" s="112"/>
      <c r="P46" s="112">
        <v>15</v>
      </c>
      <c r="Q46" s="112"/>
      <c r="R46" s="112"/>
      <c r="S46" s="112"/>
      <c r="T46" s="112"/>
      <c r="U46" s="95"/>
      <c r="V46" s="94">
        <v>1</v>
      </c>
      <c r="W46" s="96">
        <f t="shared" si="4"/>
        <v>15</v>
      </c>
      <c r="X46" s="97">
        <f t="shared" si="1"/>
        <v>13.7</v>
      </c>
      <c r="Y46" s="94" t="s">
        <v>69</v>
      </c>
      <c r="Z46" s="97">
        <f t="shared" si="2"/>
        <v>13.2</v>
      </c>
    </row>
    <row r="47" spans="1:26" s="2" customFormat="1" ht="24.95" customHeight="1" thickBot="1">
      <c r="A47" s="133"/>
      <c r="B47" s="130"/>
      <c r="C47" s="127"/>
      <c r="D47" s="127"/>
      <c r="E47" s="143"/>
      <c r="F47" s="99"/>
      <c r="G47" s="110" t="s">
        <v>119</v>
      </c>
      <c r="H47" s="92" t="s">
        <v>56</v>
      </c>
      <c r="I47" s="93" t="s">
        <v>79</v>
      </c>
      <c r="J47" s="94" t="s">
        <v>13</v>
      </c>
      <c r="K47" s="133"/>
      <c r="L47" s="111"/>
      <c r="M47" s="112"/>
      <c r="N47" s="112"/>
      <c r="O47" s="112"/>
      <c r="P47" s="112"/>
      <c r="Q47" s="112">
        <v>15</v>
      </c>
      <c r="R47" s="112"/>
      <c r="S47" s="112"/>
      <c r="T47" s="112"/>
      <c r="U47" s="95"/>
      <c r="V47" s="94">
        <v>1</v>
      </c>
      <c r="W47" s="96">
        <f t="shared" si="4"/>
        <v>15</v>
      </c>
      <c r="X47" s="97">
        <f t="shared" si="1"/>
        <v>13.7</v>
      </c>
      <c r="Y47" s="94" t="s">
        <v>69</v>
      </c>
      <c r="Z47" s="97">
        <f t="shared" si="2"/>
        <v>13.2</v>
      </c>
    </row>
    <row r="48" spans="1:26" s="2" customFormat="1" ht="24.95" customHeight="1" thickBot="1">
      <c r="A48" s="133"/>
      <c r="B48" s="130"/>
      <c r="C48" s="127"/>
      <c r="D48" s="127"/>
      <c r="E48" s="143"/>
      <c r="F48" s="99"/>
      <c r="G48" s="110" t="s">
        <v>119</v>
      </c>
      <c r="H48" s="92" t="s">
        <v>56</v>
      </c>
      <c r="I48" s="93" t="s">
        <v>80</v>
      </c>
      <c r="J48" s="94" t="s">
        <v>13</v>
      </c>
      <c r="K48" s="133"/>
      <c r="L48" s="111"/>
      <c r="M48" s="112"/>
      <c r="N48" s="112"/>
      <c r="O48" s="112"/>
      <c r="P48" s="112"/>
      <c r="Q48" s="112">
        <v>15</v>
      </c>
      <c r="R48" s="112"/>
      <c r="S48" s="112"/>
      <c r="T48" s="112"/>
      <c r="U48" s="95"/>
      <c r="V48" s="94">
        <v>1</v>
      </c>
      <c r="W48" s="96">
        <f t="shared" si="4"/>
        <v>15</v>
      </c>
      <c r="X48" s="97">
        <f t="shared" si="1"/>
        <v>13.7</v>
      </c>
      <c r="Y48" s="94" t="s">
        <v>69</v>
      </c>
      <c r="Z48" s="97">
        <f t="shared" si="2"/>
        <v>13.2</v>
      </c>
    </row>
    <row r="49" spans="1:27" s="2" customFormat="1" ht="24.95" customHeight="1" thickBot="1">
      <c r="A49" s="133"/>
      <c r="B49" s="130"/>
      <c r="C49" s="127"/>
      <c r="D49" s="127"/>
      <c r="E49" s="143"/>
      <c r="F49" s="99"/>
      <c r="G49" s="110" t="s">
        <v>119</v>
      </c>
      <c r="H49" s="92" t="s">
        <v>56</v>
      </c>
      <c r="I49" s="93" t="s">
        <v>81</v>
      </c>
      <c r="J49" s="94" t="s">
        <v>13</v>
      </c>
      <c r="K49" s="133"/>
      <c r="L49" s="111"/>
      <c r="M49" s="112"/>
      <c r="N49" s="112"/>
      <c r="O49" s="112"/>
      <c r="P49" s="112"/>
      <c r="Q49" s="112">
        <v>15</v>
      </c>
      <c r="R49" s="112"/>
      <c r="S49" s="112"/>
      <c r="T49" s="112"/>
      <c r="U49" s="95"/>
      <c r="V49" s="94">
        <v>1</v>
      </c>
      <c r="W49" s="96">
        <f t="shared" si="4"/>
        <v>15</v>
      </c>
      <c r="X49" s="97">
        <f t="shared" si="1"/>
        <v>13.7</v>
      </c>
      <c r="Y49" s="94" t="s">
        <v>69</v>
      </c>
      <c r="Z49" s="97">
        <f t="shared" si="2"/>
        <v>13.2</v>
      </c>
    </row>
    <row r="50" spans="1:27" s="2" customFormat="1" ht="24.95" customHeight="1" thickBot="1">
      <c r="A50" s="133"/>
      <c r="B50" s="130"/>
      <c r="C50" s="127"/>
      <c r="D50" s="127"/>
      <c r="E50" s="143"/>
      <c r="F50" s="99"/>
      <c r="G50" s="110" t="s">
        <v>119</v>
      </c>
      <c r="H50" s="92" t="s">
        <v>56</v>
      </c>
      <c r="I50" s="93" t="s">
        <v>82</v>
      </c>
      <c r="J50" s="94" t="s">
        <v>13</v>
      </c>
      <c r="K50" s="133"/>
      <c r="L50" s="111"/>
      <c r="M50" s="112"/>
      <c r="N50" s="112"/>
      <c r="O50" s="112"/>
      <c r="P50" s="112"/>
      <c r="Q50" s="112">
        <v>15</v>
      </c>
      <c r="R50" s="112"/>
      <c r="S50" s="112"/>
      <c r="T50" s="112"/>
      <c r="U50" s="95"/>
      <c r="V50" s="94">
        <v>1</v>
      </c>
      <c r="W50" s="96">
        <f t="shared" si="4"/>
        <v>15</v>
      </c>
      <c r="X50" s="97">
        <f t="shared" si="1"/>
        <v>13.7</v>
      </c>
      <c r="Y50" s="94" t="s">
        <v>69</v>
      </c>
      <c r="Z50" s="97">
        <f t="shared" si="2"/>
        <v>13.2</v>
      </c>
    </row>
    <row r="51" spans="1:27" s="2" customFormat="1" ht="24.95" customHeight="1" thickBot="1">
      <c r="A51" s="133"/>
      <c r="B51" s="130"/>
      <c r="C51" s="127"/>
      <c r="D51" s="127"/>
      <c r="E51" s="143"/>
      <c r="F51" s="99"/>
      <c r="G51" s="110" t="s">
        <v>120</v>
      </c>
      <c r="H51" s="92" t="s">
        <v>56</v>
      </c>
      <c r="I51" s="93" t="s">
        <v>83</v>
      </c>
      <c r="J51" s="94" t="s">
        <v>13</v>
      </c>
      <c r="K51" s="133"/>
      <c r="L51" s="111"/>
      <c r="M51" s="112"/>
      <c r="N51" s="112"/>
      <c r="O51" s="112"/>
      <c r="P51" s="112"/>
      <c r="Q51" s="112"/>
      <c r="R51" s="112">
        <v>13</v>
      </c>
      <c r="S51" s="112"/>
      <c r="T51" s="112"/>
      <c r="U51" s="95"/>
      <c r="V51" s="94">
        <v>1</v>
      </c>
      <c r="W51" s="96">
        <f t="shared" si="4"/>
        <v>13</v>
      </c>
      <c r="X51" s="97">
        <f t="shared" si="1"/>
        <v>11.94</v>
      </c>
      <c r="Y51" s="94" t="s">
        <v>69</v>
      </c>
      <c r="Z51" s="97">
        <f t="shared" si="2"/>
        <v>11.44</v>
      </c>
    </row>
    <row r="52" spans="1:27" s="2" customFormat="1" ht="24.95" customHeight="1" thickBot="1">
      <c r="A52" s="133"/>
      <c r="B52" s="130"/>
      <c r="C52" s="127"/>
      <c r="D52" s="127"/>
      <c r="E52" s="143"/>
      <c r="F52" s="99"/>
      <c r="G52" s="110" t="s">
        <v>120</v>
      </c>
      <c r="H52" s="92" t="s">
        <v>56</v>
      </c>
      <c r="I52" s="93" t="s">
        <v>84</v>
      </c>
      <c r="J52" s="94" t="s">
        <v>13</v>
      </c>
      <c r="K52" s="133"/>
      <c r="L52" s="111"/>
      <c r="M52" s="112"/>
      <c r="N52" s="112"/>
      <c r="O52" s="112"/>
      <c r="P52" s="112"/>
      <c r="Q52" s="112"/>
      <c r="R52" s="112">
        <v>13</v>
      </c>
      <c r="S52" s="112"/>
      <c r="T52" s="112"/>
      <c r="U52" s="95"/>
      <c r="V52" s="94">
        <v>1</v>
      </c>
      <c r="W52" s="96">
        <f t="shared" si="4"/>
        <v>13</v>
      </c>
      <c r="X52" s="97">
        <f t="shared" si="1"/>
        <v>11.94</v>
      </c>
      <c r="Y52" s="94" t="s">
        <v>69</v>
      </c>
      <c r="Z52" s="97">
        <f t="shared" si="2"/>
        <v>11.44</v>
      </c>
    </row>
    <row r="53" spans="1:27" s="2" customFormat="1" ht="24.95" customHeight="1" thickBot="1">
      <c r="A53" s="133"/>
      <c r="B53" s="130"/>
      <c r="C53" s="127"/>
      <c r="D53" s="127"/>
      <c r="E53" s="143"/>
      <c r="F53" s="99"/>
      <c r="G53" s="110" t="s">
        <v>120</v>
      </c>
      <c r="H53" s="92" t="s">
        <v>56</v>
      </c>
      <c r="I53" s="93" t="s">
        <v>123</v>
      </c>
      <c r="J53" s="94" t="s">
        <v>13</v>
      </c>
      <c r="K53" s="133"/>
      <c r="L53" s="111"/>
      <c r="M53" s="112"/>
      <c r="N53" s="112"/>
      <c r="O53" s="112"/>
      <c r="P53" s="112"/>
      <c r="Q53" s="112"/>
      <c r="R53" s="112">
        <v>14</v>
      </c>
      <c r="S53" s="112"/>
      <c r="T53" s="112"/>
      <c r="U53" s="95"/>
      <c r="V53" s="94">
        <v>1</v>
      </c>
      <c r="W53" s="96">
        <f t="shared" si="4"/>
        <v>14</v>
      </c>
      <c r="X53" s="97">
        <f t="shared" si="1"/>
        <v>12.82</v>
      </c>
      <c r="Y53" s="94" t="s">
        <v>69</v>
      </c>
      <c r="Z53" s="97">
        <f t="shared" si="2"/>
        <v>12.32</v>
      </c>
    </row>
    <row r="54" spans="1:27" s="2" customFormat="1" ht="24.95" customHeight="1" thickBot="1">
      <c r="A54" s="133"/>
      <c r="B54" s="130"/>
      <c r="C54" s="127"/>
      <c r="D54" s="127"/>
      <c r="E54" s="143"/>
      <c r="F54" s="99"/>
      <c r="G54" s="110" t="s">
        <v>121</v>
      </c>
      <c r="H54" s="92" t="s">
        <v>56</v>
      </c>
      <c r="I54" s="93" t="s">
        <v>124</v>
      </c>
      <c r="J54" s="94" t="s">
        <v>13</v>
      </c>
      <c r="K54" s="133"/>
      <c r="L54" s="111"/>
      <c r="M54" s="112"/>
      <c r="N54" s="112"/>
      <c r="O54" s="112"/>
      <c r="P54" s="112"/>
      <c r="Q54" s="112"/>
      <c r="R54" s="112"/>
      <c r="S54" s="112">
        <v>11</v>
      </c>
      <c r="T54" s="112"/>
      <c r="U54" s="95"/>
      <c r="V54" s="94">
        <v>1</v>
      </c>
      <c r="W54" s="96">
        <f t="shared" si="4"/>
        <v>11</v>
      </c>
      <c r="X54" s="97">
        <f t="shared" si="1"/>
        <v>10.18</v>
      </c>
      <c r="Y54" s="94" t="s">
        <v>59</v>
      </c>
      <c r="Z54" s="97">
        <f t="shared" si="2"/>
        <v>9.68</v>
      </c>
    </row>
    <row r="55" spans="1:27" s="2" customFormat="1" ht="24.95" customHeight="1" thickBot="1">
      <c r="A55" s="133"/>
      <c r="B55" s="130"/>
      <c r="C55" s="127"/>
      <c r="D55" s="127"/>
      <c r="E55" s="143"/>
      <c r="F55" s="99"/>
      <c r="G55" s="110" t="s">
        <v>121</v>
      </c>
      <c r="H55" s="92" t="s">
        <v>56</v>
      </c>
      <c r="I55" s="93" t="s">
        <v>125</v>
      </c>
      <c r="J55" s="94" t="s">
        <v>13</v>
      </c>
      <c r="K55" s="133"/>
      <c r="L55" s="111"/>
      <c r="M55" s="112"/>
      <c r="N55" s="112"/>
      <c r="O55" s="112"/>
      <c r="P55" s="112"/>
      <c r="Q55" s="112"/>
      <c r="R55" s="112"/>
      <c r="S55" s="112">
        <v>12</v>
      </c>
      <c r="T55" s="112"/>
      <c r="U55" s="95"/>
      <c r="V55" s="94">
        <v>1</v>
      </c>
      <c r="W55" s="96">
        <f t="shared" si="4"/>
        <v>12</v>
      </c>
      <c r="X55" s="97">
        <f t="shared" si="1"/>
        <v>11.06</v>
      </c>
      <c r="Y55" s="94" t="s">
        <v>59</v>
      </c>
      <c r="Z55" s="97">
        <f t="shared" si="2"/>
        <v>10.56</v>
      </c>
    </row>
    <row r="56" spans="1:27" s="2" customFormat="1" ht="24.95" customHeight="1" thickBot="1">
      <c r="A56" s="133"/>
      <c r="B56" s="130"/>
      <c r="C56" s="127"/>
      <c r="D56" s="127"/>
      <c r="E56" s="143"/>
      <c r="F56" s="99"/>
      <c r="G56" s="110" t="s">
        <v>121</v>
      </c>
      <c r="H56" s="92" t="s">
        <v>56</v>
      </c>
      <c r="I56" s="93" t="s">
        <v>126</v>
      </c>
      <c r="J56" s="94" t="s">
        <v>13</v>
      </c>
      <c r="K56" s="133"/>
      <c r="L56" s="111"/>
      <c r="M56" s="112"/>
      <c r="N56" s="112"/>
      <c r="O56" s="112"/>
      <c r="P56" s="112"/>
      <c r="Q56" s="112"/>
      <c r="R56" s="112"/>
      <c r="S56" s="112">
        <v>12</v>
      </c>
      <c r="T56" s="112"/>
      <c r="U56" s="95"/>
      <c r="V56" s="94">
        <v>1</v>
      </c>
      <c r="W56" s="96">
        <f t="shared" si="4"/>
        <v>12</v>
      </c>
      <c r="X56" s="97">
        <f t="shared" si="1"/>
        <v>11.06</v>
      </c>
      <c r="Y56" s="94" t="s">
        <v>59</v>
      </c>
      <c r="Z56" s="97">
        <f t="shared" si="2"/>
        <v>10.56</v>
      </c>
    </row>
    <row r="57" spans="1:27" s="2" customFormat="1" ht="24.95" customHeight="1" thickBot="1">
      <c r="A57" s="133"/>
      <c r="B57" s="130"/>
      <c r="C57" s="127"/>
      <c r="D57" s="127"/>
      <c r="E57" s="143"/>
      <c r="F57" s="99"/>
      <c r="G57" s="110" t="s">
        <v>122</v>
      </c>
      <c r="H57" s="92" t="s">
        <v>56</v>
      </c>
      <c r="I57" s="93" t="s">
        <v>127</v>
      </c>
      <c r="J57" s="94" t="s">
        <v>13</v>
      </c>
      <c r="K57" s="133"/>
      <c r="L57" s="111"/>
      <c r="M57" s="112"/>
      <c r="N57" s="112"/>
      <c r="O57" s="112"/>
      <c r="P57" s="112"/>
      <c r="Q57" s="112"/>
      <c r="R57" s="112"/>
      <c r="S57" s="112"/>
      <c r="T57" s="112">
        <v>10</v>
      </c>
      <c r="U57" s="95"/>
      <c r="V57" s="94">
        <v>1</v>
      </c>
      <c r="W57" s="96">
        <f t="shared" si="4"/>
        <v>10</v>
      </c>
      <c r="X57" s="97">
        <f t="shared" si="1"/>
        <v>9.3000000000000007</v>
      </c>
      <c r="Y57" s="94" t="s">
        <v>59</v>
      </c>
      <c r="Z57" s="97">
        <f t="shared" si="2"/>
        <v>8.8000000000000007</v>
      </c>
    </row>
    <row r="58" spans="1:27" s="2" customFormat="1" ht="24.95" customHeight="1" thickBot="1">
      <c r="A58" s="134"/>
      <c r="B58" s="131"/>
      <c r="C58" s="128"/>
      <c r="D58" s="128"/>
      <c r="E58" s="144"/>
      <c r="F58" s="92"/>
      <c r="G58" s="110" t="s">
        <v>122</v>
      </c>
      <c r="H58" s="92" t="s">
        <v>56</v>
      </c>
      <c r="I58" s="93" t="s">
        <v>128</v>
      </c>
      <c r="J58" s="94" t="s">
        <v>13</v>
      </c>
      <c r="K58" s="134"/>
      <c r="L58" s="111"/>
      <c r="M58" s="112"/>
      <c r="N58" s="112"/>
      <c r="O58" s="112"/>
      <c r="P58" s="112"/>
      <c r="Q58" s="112"/>
      <c r="R58" s="112"/>
      <c r="S58" s="112"/>
      <c r="T58" s="112">
        <v>10</v>
      </c>
      <c r="U58" s="95"/>
      <c r="V58" s="94">
        <v>1</v>
      </c>
      <c r="W58" s="96">
        <f t="shared" si="4"/>
        <v>10</v>
      </c>
      <c r="X58" s="97">
        <f t="shared" si="1"/>
        <v>9.3000000000000007</v>
      </c>
      <c r="Y58" s="94" t="s">
        <v>59</v>
      </c>
      <c r="Z58" s="97">
        <f t="shared" si="2"/>
        <v>8.8000000000000007</v>
      </c>
    </row>
    <row r="59" spans="1:27" s="2" customFormat="1" ht="24.95" customHeight="1" thickBot="1">
      <c r="A59" s="132" t="s">
        <v>106</v>
      </c>
      <c r="B59" s="129" t="s">
        <v>107</v>
      </c>
      <c r="C59" s="126" t="s">
        <v>100</v>
      </c>
      <c r="D59" s="126" t="s">
        <v>108</v>
      </c>
      <c r="E59" s="142" t="s">
        <v>110</v>
      </c>
      <c r="F59" s="99"/>
      <c r="G59" s="113" t="s">
        <v>129</v>
      </c>
      <c r="H59" s="92" t="s">
        <v>56</v>
      </c>
      <c r="I59" s="93" t="s">
        <v>138</v>
      </c>
      <c r="J59" s="94" t="s">
        <v>13</v>
      </c>
      <c r="K59" s="132"/>
      <c r="L59" s="114">
        <v>12</v>
      </c>
      <c r="M59" s="112"/>
      <c r="N59" s="112"/>
      <c r="O59" s="112"/>
      <c r="P59" s="112"/>
      <c r="Q59" s="112"/>
      <c r="R59" s="112"/>
      <c r="S59" s="112"/>
      <c r="T59" s="112"/>
      <c r="U59" s="95"/>
      <c r="V59" s="94">
        <v>1</v>
      </c>
      <c r="W59" s="96">
        <f>SUM(L59:U59)</f>
        <v>12</v>
      </c>
      <c r="X59" s="97">
        <f>Z59+(V59*0.5)</f>
        <v>8.24</v>
      </c>
      <c r="Y59" s="94" t="s">
        <v>59</v>
      </c>
      <c r="Z59" s="97">
        <f>W59*0.645</f>
        <v>7.74</v>
      </c>
      <c r="AA59" s="98">
        <f>SUM(X59:X74)</f>
        <v>176.345</v>
      </c>
    </row>
    <row r="60" spans="1:27" s="2" customFormat="1" ht="24.95" customHeight="1" thickBot="1">
      <c r="A60" s="133"/>
      <c r="B60" s="130"/>
      <c r="C60" s="127"/>
      <c r="D60" s="127"/>
      <c r="E60" s="143"/>
      <c r="F60" s="99"/>
      <c r="G60" s="108" t="s">
        <v>130</v>
      </c>
      <c r="H60" s="92" t="s">
        <v>56</v>
      </c>
      <c r="I60" s="93" t="s">
        <v>139</v>
      </c>
      <c r="J60" s="94" t="s">
        <v>13</v>
      </c>
      <c r="K60" s="133"/>
      <c r="L60" s="103"/>
      <c r="M60" s="102">
        <v>16</v>
      </c>
      <c r="N60" s="102"/>
      <c r="O60" s="102"/>
      <c r="P60" s="102"/>
      <c r="Q60" s="102"/>
      <c r="R60" s="102"/>
      <c r="S60" s="102"/>
      <c r="T60" s="102"/>
      <c r="U60" s="95"/>
      <c r="V60" s="94">
        <v>1</v>
      </c>
      <c r="W60" s="96">
        <f t="shared" ref="W60:W74" si="5">SUM(L60:U60)</f>
        <v>16</v>
      </c>
      <c r="X60" s="97">
        <f t="shared" ref="X60:X74" si="6">Z60+(V60*0.5)</f>
        <v>10.82</v>
      </c>
      <c r="Y60" s="94" t="s">
        <v>59</v>
      </c>
      <c r="Z60" s="97">
        <f t="shared" ref="Z60:Z74" si="7">W60*0.645</f>
        <v>10.32</v>
      </c>
    </row>
    <row r="61" spans="1:27" s="2" customFormat="1" ht="24.95" customHeight="1" thickBot="1">
      <c r="A61" s="133"/>
      <c r="B61" s="130"/>
      <c r="C61" s="127"/>
      <c r="D61" s="127"/>
      <c r="E61" s="143"/>
      <c r="F61" s="99"/>
      <c r="G61" s="108" t="s">
        <v>131</v>
      </c>
      <c r="H61" s="92" t="s">
        <v>56</v>
      </c>
      <c r="I61" s="93" t="s">
        <v>140</v>
      </c>
      <c r="J61" s="94" t="s">
        <v>13</v>
      </c>
      <c r="K61" s="133"/>
      <c r="L61" s="103"/>
      <c r="M61" s="102"/>
      <c r="N61" s="102">
        <v>18</v>
      </c>
      <c r="O61" s="102"/>
      <c r="P61" s="102"/>
      <c r="Q61" s="102"/>
      <c r="R61" s="102"/>
      <c r="S61" s="102"/>
      <c r="T61" s="102"/>
      <c r="U61" s="95"/>
      <c r="V61" s="94">
        <v>1</v>
      </c>
      <c r="W61" s="96">
        <f t="shared" si="5"/>
        <v>18</v>
      </c>
      <c r="X61" s="97">
        <f t="shared" si="6"/>
        <v>12.11</v>
      </c>
      <c r="Y61" s="94" t="s">
        <v>59</v>
      </c>
      <c r="Z61" s="97">
        <f t="shared" si="7"/>
        <v>11.61</v>
      </c>
    </row>
    <row r="62" spans="1:27" s="2" customFormat="1" ht="24.95" customHeight="1" thickBot="1">
      <c r="A62" s="133"/>
      <c r="B62" s="130"/>
      <c r="C62" s="127"/>
      <c r="D62" s="127"/>
      <c r="E62" s="143"/>
      <c r="F62" s="99"/>
      <c r="G62" s="108" t="s">
        <v>131</v>
      </c>
      <c r="H62" s="92" t="s">
        <v>56</v>
      </c>
      <c r="I62" s="93" t="s">
        <v>85</v>
      </c>
      <c r="J62" s="94" t="s">
        <v>13</v>
      </c>
      <c r="K62" s="133"/>
      <c r="L62" s="103"/>
      <c r="M62" s="102"/>
      <c r="N62" s="102">
        <v>18</v>
      </c>
      <c r="O62" s="102"/>
      <c r="P62" s="102"/>
      <c r="Q62" s="102"/>
      <c r="R62" s="102"/>
      <c r="S62" s="102"/>
      <c r="T62" s="102"/>
      <c r="U62" s="95"/>
      <c r="V62" s="94">
        <v>1</v>
      </c>
      <c r="W62" s="96">
        <f t="shared" si="5"/>
        <v>18</v>
      </c>
      <c r="X62" s="97">
        <f t="shared" si="6"/>
        <v>12.11</v>
      </c>
      <c r="Y62" s="94" t="s">
        <v>69</v>
      </c>
      <c r="Z62" s="97">
        <f t="shared" si="7"/>
        <v>11.61</v>
      </c>
    </row>
    <row r="63" spans="1:27" s="2" customFormat="1" ht="24.95" customHeight="1" thickBot="1">
      <c r="A63" s="133"/>
      <c r="B63" s="130"/>
      <c r="C63" s="127"/>
      <c r="D63" s="127"/>
      <c r="E63" s="143"/>
      <c r="F63" s="99"/>
      <c r="G63" s="108" t="s">
        <v>132</v>
      </c>
      <c r="H63" s="92" t="s">
        <v>56</v>
      </c>
      <c r="I63" s="93" t="s">
        <v>86</v>
      </c>
      <c r="J63" s="94" t="s">
        <v>13</v>
      </c>
      <c r="K63" s="133"/>
      <c r="L63" s="103"/>
      <c r="M63" s="102"/>
      <c r="N63" s="102"/>
      <c r="O63" s="102">
        <v>15</v>
      </c>
      <c r="P63" s="102"/>
      <c r="Q63" s="102"/>
      <c r="R63" s="102"/>
      <c r="S63" s="102"/>
      <c r="T63" s="102"/>
      <c r="U63" s="95"/>
      <c r="V63" s="94">
        <v>1</v>
      </c>
      <c r="W63" s="96">
        <f t="shared" si="5"/>
        <v>15</v>
      </c>
      <c r="X63" s="97">
        <f t="shared" si="6"/>
        <v>10.175000000000001</v>
      </c>
      <c r="Y63" s="94" t="s">
        <v>69</v>
      </c>
      <c r="Z63" s="97">
        <f t="shared" si="7"/>
        <v>9.6750000000000007</v>
      </c>
    </row>
    <row r="64" spans="1:27" s="2" customFormat="1" ht="24.95" customHeight="1" thickBot="1">
      <c r="A64" s="133"/>
      <c r="B64" s="130"/>
      <c r="C64" s="127"/>
      <c r="D64" s="127"/>
      <c r="E64" s="143"/>
      <c r="F64" s="99"/>
      <c r="G64" s="108" t="s">
        <v>132</v>
      </c>
      <c r="H64" s="92" t="s">
        <v>56</v>
      </c>
      <c r="I64" s="93" t="s">
        <v>87</v>
      </c>
      <c r="J64" s="94" t="s">
        <v>13</v>
      </c>
      <c r="K64" s="133"/>
      <c r="L64" s="103"/>
      <c r="M64" s="102"/>
      <c r="N64" s="102"/>
      <c r="O64" s="102">
        <v>15</v>
      </c>
      <c r="P64" s="102"/>
      <c r="Q64" s="102"/>
      <c r="R64" s="102"/>
      <c r="S64" s="102"/>
      <c r="T64" s="102"/>
      <c r="U64" s="95"/>
      <c r="V64" s="94">
        <v>1</v>
      </c>
      <c r="W64" s="96">
        <f t="shared" si="5"/>
        <v>15</v>
      </c>
      <c r="X64" s="97">
        <f t="shared" si="6"/>
        <v>10.175000000000001</v>
      </c>
      <c r="Y64" s="94" t="s">
        <v>69</v>
      </c>
      <c r="Z64" s="97">
        <f t="shared" si="7"/>
        <v>9.6750000000000007</v>
      </c>
    </row>
    <row r="65" spans="1:27" s="2" customFormat="1" ht="24.95" customHeight="1" thickBot="1">
      <c r="A65" s="133"/>
      <c r="B65" s="130"/>
      <c r="C65" s="127"/>
      <c r="D65" s="127"/>
      <c r="E65" s="143"/>
      <c r="F65" s="99"/>
      <c r="G65" s="108" t="s">
        <v>132</v>
      </c>
      <c r="H65" s="92" t="s">
        <v>56</v>
      </c>
      <c r="I65" s="93" t="s">
        <v>88</v>
      </c>
      <c r="J65" s="94" t="s">
        <v>13</v>
      </c>
      <c r="K65" s="133"/>
      <c r="L65" s="103"/>
      <c r="M65" s="102"/>
      <c r="N65" s="102"/>
      <c r="O65" s="102">
        <v>15</v>
      </c>
      <c r="P65" s="102"/>
      <c r="Q65" s="102"/>
      <c r="R65" s="102"/>
      <c r="S65" s="102"/>
      <c r="T65" s="102"/>
      <c r="U65" s="95"/>
      <c r="V65" s="94">
        <v>1</v>
      </c>
      <c r="W65" s="96">
        <f t="shared" si="5"/>
        <v>15</v>
      </c>
      <c r="X65" s="97">
        <f t="shared" si="6"/>
        <v>10.175000000000001</v>
      </c>
      <c r="Y65" s="94" t="s">
        <v>69</v>
      </c>
      <c r="Z65" s="97">
        <f t="shared" si="7"/>
        <v>9.6750000000000007</v>
      </c>
    </row>
    <row r="66" spans="1:27" s="2" customFormat="1" ht="24.95" customHeight="1" thickBot="1">
      <c r="A66" s="133"/>
      <c r="B66" s="130"/>
      <c r="C66" s="127"/>
      <c r="D66" s="127"/>
      <c r="E66" s="143"/>
      <c r="F66" s="99"/>
      <c r="G66" s="108" t="s">
        <v>133</v>
      </c>
      <c r="H66" s="92" t="s">
        <v>56</v>
      </c>
      <c r="I66" s="93" t="s">
        <v>89</v>
      </c>
      <c r="J66" s="94" t="s">
        <v>13</v>
      </c>
      <c r="K66" s="133"/>
      <c r="L66" s="103"/>
      <c r="M66" s="102"/>
      <c r="N66" s="102"/>
      <c r="O66" s="102"/>
      <c r="P66" s="102">
        <v>19</v>
      </c>
      <c r="Q66" s="102"/>
      <c r="R66" s="102"/>
      <c r="S66" s="102"/>
      <c r="T66" s="102"/>
      <c r="U66" s="95"/>
      <c r="V66" s="94">
        <v>1</v>
      </c>
      <c r="W66" s="96">
        <f t="shared" si="5"/>
        <v>19</v>
      </c>
      <c r="X66" s="97">
        <f t="shared" si="6"/>
        <v>12.755000000000001</v>
      </c>
      <c r="Y66" s="94" t="s">
        <v>69</v>
      </c>
      <c r="Z66" s="97">
        <f t="shared" si="7"/>
        <v>12.255000000000001</v>
      </c>
    </row>
    <row r="67" spans="1:27" s="2" customFormat="1" ht="24.95" customHeight="1" thickBot="1">
      <c r="A67" s="133"/>
      <c r="B67" s="130"/>
      <c r="C67" s="127"/>
      <c r="D67" s="127"/>
      <c r="E67" s="143"/>
      <c r="F67" s="99"/>
      <c r="G67" s="108" t="s">
        <v>133</v>
      </c>
      <c r="H67" s="92" t="s">
        <v>56</v>
      </c>
      <c r="I67" s="93" t="s">
        <v>90</v>
      </c>
      <c r="J67" s="94" t="s">
        <v>13</v>
      </c>
      <c r="K67" s="133"/>
      <c r="L67" s="103"/>
      <c r="M67" s="102"/>
      <c r="N67" s="102"/>
      <c r="O67" s="102"/>
      <c r="P67" s="102">
        <v>19</v>
      </c>
      <c r="Q67" s="102"/>
      <c r="R67" s="102"/>
      <c r="S67" s="102"/>
      <c r="T67" s="102"/>
      <c r="U67" s="95"/>
      <c r="V67" s="94">
        <v>1</v>
      </c>
      <c r="W67" s="96">
        <f t="shared" si="5"/>
        <v>19</v>
      </c>
      <c r="X67" s="97">
        <f t="shared" si="6"/>
        <v>12.755000000000001</v>
      </c>
      <c r="Y67" s="94" t="s">
        <v>69</v>
      </c>
      <c r="Z67" s="97">
        <f t="shared" si="7"/>
        <v>12.255000000000001</v>
      </c>
    </row>
    <row r="68" spans="1:27" s="2" customFormat="1" ht="24.95" customHeight="1" thickBot="1">
      <c r="A68" s="133"/>
      <c r="B68" s="130"/>
      <c r="C68" s="127"/>
      <c r="D68" s="127"/>
      <c r="E68" s="143"/>
      <c r="F68" s="99"/>
      <c r="G68" s="108" t="s">
        <v>133</v>
      </c>
      <c r="H68" s="92" t="s">
        <v>56</v>
      </c>
      <c r="I68" s="93" t="s">
        <v>91</v>
      </c>
      <c r="J68" s="94" t="s">
        <v>13</v>
      </c>
      <c r="K68" s="133"/>
      <c r="L68" s="103"/>
      <c r="M68" s="102"/>
      <c r="N68" s="102"/>
      <c r="O68" s="102"/>
      <c r="P68" s="102">
        <v>20</v>
      </c>
      <c r="Q68" s="102"/>
      <c r="R68" s="102"/>
      <c r="S68" s="102"/>
      <c r="T68" s="102"/>
      <c r="U68" s="95"/>
      <c r="V68" s="94">
        <v>1</v>
      </c>
      <c r="W68" s="96">
        <f t="shared" si="5"/>
        <v>20</v>
      </c>
      <c r="X68" s="97">
        <f t="shared" si="6"/>
        <v>13.4</v>
      </c>
      <c r="Y68" s="94" t="s">
        <v>69</v>
      </c>
      <c r="Z68" s="97">
        <f t="shared" si="7"/>
        <v>12.9</v>
      </c>
    </row>
    <row r="69" spans="1:27" s="2" customFormat="1" ht="24.95" customHeight="1" thickBot="1">
      <c r="A69" s="133"/>
      <c r="B69" s="130"/>
      <c r="C69" s="128"/>
      <c r="D69" s="128"/>
      <c r="E69" s="143"/>
      <c r="F69" s="92"/>
      <c r="G69" s="108" t="s">
        <v>134</v>
      </c>
      <c r="H69" s="92" t="s">
        <v>56</v>
      </c>
      <c r="I69" s="93" t="s">
        <v>92</v>
      </c>
      <c r="J69" s="94" t="s">
        <v>13</v>
      </c>
      <c r="K69" s="133"/>
      <c r="L69" s="103"/>
      <c r="M69" s="102"/>
      <c r="N69" s="102"/>
      <c r="O69" s="102"/>
      <c r="P69" s="102"/>
      <c r="Q69" s="102">
        <v>18</v>
      </c>
      <c r="R69" s="102"/>
      <c r="S69" s="102"/>
      <c r="T69" s="102"/>
      <c r="U69" s="95"/>
      <c r="V69" s="94">
        <v>1</v>
      </c>
      <c r="W69" s="96">
        <f t="shared" si="5"/>
        <v>18</v>
      </c>
      <c r="X69" s="97">
        <f t="shared" si="6"/>
        <v>12.11</v>
      </c>
      <c r="Y69" s="94" t="s">
        <v>71</v>
      </c>
      <c r="Z69" s="97">
        <f t="shared" si="7"/>
        <v>11.61</v>
      </c>
    </row>
    <row r="70" spans="1:27" s="2" customFormat="1" ht="24.95" customHeight="1" thickBot="1">
      <c r="A70" s="133"/>
      <c r="B70" s="130"/>
      <c r="C70" s="127"/>
      <c r="D70" s="127"/>
      <c r="E70" s="143"/>
      <c r="F70" s="99"/>
      <c r="G70" s="108" t="s">
        <v>134</v>
      </c>
      <c r="H70" s="92" t="s">
        <v>56</v>
      </c>
      <c r="I70" s="93" t="s">
        <v>93</v>
      </c>
      <c r="J70" s="94" t="s">
        <v>13</v>
      </c>
      <c r="K70" s="133"/>
      <c r="L70" s="101"/>
      <c r="M70" s="102"/>
      <c r="N70" s="102"/>
      <c r="O70" s="102"/>
      <c r="P70" s="102"/>
      <c r="Q70" s="102">
        <v>18</v>
      </c>
      <c r="R70" s="102"/>
      <c r="S70" s="102"/>
      <c r="T70" s="102"/>
      <c r="U70" s="95"/>
      <c r="V70" s="94">
        <v>1</v>
      </c>
      <c r="W70" s="96">
        <f t="shared" si="5"/>
        <v>18</v>
      </c>
      <c r="X70" s="97">
        <f t="shared" si="6"/>
        <v>12.11</v>
      </c>
      <c r="Y70" s="94" t="s">
        <v>71</v>
      </c>
      <c r="Z70" s="97">
        <f t="shared" si="7"/>
        <v>11.61</v>
      </c>
      <c r="AA70" s="98"/>
    </row>
    <row r="71" spans="1:27" s="2" customFormat="1" ht="24.95" customHeight="1" thickBot="1">
      <c r="A71" s="133"/>
      <c r="B71" s="130"/>
      <c r="C71" s="127"/>
      <c r="D71" s="127"/>
      <c r="E71" s="143"/>
      <c r="F71" s="99"/>
      <c r="G71" s="108" t="s">
        <v>135</v>
      </c>
      <c r="H71" s="92" t="s">
        <v>56</v>
      </c>
      <c r="I71" s="93" t="s">
        <v>94</v>
      </c>
      <c r="J71" s="94" t="s">
        <v>13</v>
      </c>
      <c r="K71" s="133"/>
      <c r="L71" s="103"/>
      <c r="M71" s="102"/>
      <c r="N71" s="102"/>
      <c r="O71" s="102"/>
      <c r="P71" s="102"/>
      <c r="Q71" s="102"/>
      <c r="R71" s="102">
        <v>14</v>
      </c>
      <c r="S71" s="102"/>
      <c r="T71" s="102"/>
      <c r="U71" s="95"/>
      <c r="V71" s="94">
        <v>1</v>
      </c>
      <c r="W71" s="96">
        <f t="shared" si="5"/>
        <v>14</v>
      </c>
      <c r="X71" s="97">
        <f t="shared" si="6"/>
        <v>9.5300000000000011</v>
      </c>
      <c r="Y71" s="94" t="s">
        <v>71</v>
      </c>
      <c r="Z71" s="97">
        <f t="shared" si="7"/>
        <v>9.0300000000000011</v>
      </c>
    </row>
    <row r="72" spans="1:27" s="2" customFormat="1" ht="24.95" customHeight="1" thickBot="1">
      <c r="A72" s="133"/>
      <c r="B72" s="130"/>
      <c r="C72" s="127"/>
      <c r="D72" s="127"/>
      <c r="E72" s="143"/>
      <c r="F72" s="99"/>
      <c r="G72" s="108" t="s">
        <v>135</v>
      </c>
      <c r="H72" s="92" t="s">
        <v>56</v>
      </c>
      <c r="I72" s="93" t="s">
        <v>95</v>
      </c>
      <c r="J72" s="94" t="s">
        <v>13</v>
      </c>
      <c r="K72" s="133"/>
      <c r="L72" s="103"/>
      <c r="M72" s="102"/>
      <c r="N72" s="102"/>
      <c r="O72" s="102"/>
      <c r="P72" s="102"/>
      <c r="Q72" s="102"/>
      <c r="R72" s="102">
        <v>13</v>
      </c>
      <c r="S72" s="102"/>
      <c r="T72" s="102"/>
      <c r="U72" s="95"/>
      <c r="V72" s="94">
        <v>1</v>
      </c>
      <c r="W72" s="96">
        <f t="shared" si="5"/>
        <v>13</v>
      </c>
      <c r="X72" s="97">
        <f t="shared" si="6"/>
        <v>8.8849999999999998</v>
      </c>
      <c r="Y72" s="94" t="s">
        <v>71</v>
      </c>
      <c r="Z72" s="97">
        <f t="shared" si="7"/>
        <v>8.3849999999999998</v>
      </c>
    </row>
    <row r="73" spans="1:27" s="2" customFormat="1" ht="24.95" customHeight="1" thickBot="1">
      <c r="A73" s="133"/>
      <c r="B73" s="130"/>
      <c r="C73" s="127"/>
      <c r="D73" s="127"/>
      <c r="E73" s="143"/>
      <c r="F73" s="99"/>
      <c r="G73" s="108" t="s">
        <v>136</v>
      </c>
      <c r="H73" s="92" t="s">
        <v>56</v>
      </c>
      <c r="I73" s="93" t="s">
        <v>96</v>
      </c>
      <c r="J73" s="94" t="s">
        <v>13</v>
      </c>
      <c r="K73" s="133"/>
      <c r="L73" s="103"/>
      <c r="M73" s="102"/>
      <c r="N73" s="102"/>
      <c r="O73" s="102"/>
      <c r="P73" s="102"/>
      <c r="Q73" s="102"/>
      <c r="R73" s="102"/>
      <c r="S73" s="102">
        <v>20</v>
      </c>
      <c r="T73" s="102"/>
      <c r="U73" s="95"/>
      <c r="V73" s="94">
        <v>1</v>
      </c>
      <c r="W73" s="96">
        <f t="shared" si="5"/>
        <v>20</v>
      </c>
      <c r="X73" s="97">
        <f t="shared" si="6"/>
        <v>13.4</v>
      </c>
      <c r="Y73" s="94" t="s">
        <v>71</v>
      </c>
      <c r="Z73" s="97">
        <f t="shared" si="7"/>
        <v>12.9</v>
      </c>
    </row>
    <row r="74" spans="1:27" s="2" customFormat="1" ht="24.95" customHeight="1" thickBot="1">
      <c r="A74" s="134"/>
      <c r="B74" s="131"/>
      <c r="C74" s="128"/>
      <c r="D74" s="128"/>
      <c r="E74" s="144"/>
      <c r="F74" s="92"/>
      <c r="G74" s="108" t="s">
        <v>137</v>
      </c>
      <c r="H74" s="92" t="s">
        <v>56</v>
      </c>
      <c r="I74" s="93" t="s">
        <v>97</v>
      </c>
      <c r="J74" s="94" t="s">
        <v>13</v>
      </c>
      <c r="K74" s="134"/>
      <c r="L74" s="103"/>
      <c r="M74" s="102"/>
      <c r="N74" s="102"/>
      <c r="O74" s="102"/>
      <c r="P74" s="102"/>
      <c r="Q74" s="102"/>
      <c r="R74" s="102"/>
      <c r="S74" s="102"/>
      <c r="T74" s="102">
        <v>11</v>
      </c>
      <c r="U74" s="95"/>
      <c r="V74" s="94">
        <v>1</v>
      </c>
      <c r="W74" s="96">
        <f t="shared" si="5"/>
        <v>11</v>
      </c>
      <c r="X74" s="97">
        <f t="shared" si="6"/>
        <v>7.5950000000000006</v>
      </c>
      <c r="Y74" s="94" t="s">
        <v>69</v>
      </c>
      <c r="Z74" s="97">
        <f t="shared" si="7"/>
        <v>7.0950000000000006</v>
      </c>
    </row>
    <row r="75" spans="1:27" ht="15">
      <c r="Z75" s="104"/>
      <c r="AA75" s="73"/>
    </row>
    <row r="76" spans="1:27">
      <c r="V76" s="105">
        <f>SUM(V27:V75)</f>
        <v>107</v>
      </c>
      <c r="W76" s="105">
        <f>SUM(W27:W75)</f>
        <v>1056</v>
      </c>
      <c r="X76" s="106">
        <f>SUM(X27:X75)</f>
        <v>921.44500000000028</v>
      </c>
      <c r="Y76" s="105"/>
      <c r="Z76" s="105">
        <f>SUM(Z27:Z74)</f>
        <v>867.94500000000005</v>
      </c>
    </row>
  </sheetData>
  <mergeCells count="27">
    <mergeCell ref="K27:K58"/>
    <mergeCell ref="K59:K74"/>
    <mergeCell ref="A1:Z2"/>
    <mergeCell ref="N7:R11"/>
    <mergeCell ref="E27:E58"/>
    <mergeCell ref="E59:E74"/>
    <mergeCell ref="Q17:R17"/>
    <mergeCell ref="A29:A58"/>
    <mergeCell ref="A59:A74"/>
    <mergeCell ref="D27:D58"/>
    <mergeCell ref="D59:D74"/>
    <mergeCell ref="A15:C15"/>
    <mergeCell ref="D15:I15"/>
    <mergeCell ref="A16:C16"/>
    <mergeCell ref="D16:I16"/>
    <mergeCell ref="A17:C17"/>
    <mergeCell ref="D17:I17"/>
    <mergeCell ref="B29:B58"/>
    <mergeCell ref="B59:B74"/>
    <mergeCell ref="C27:C58"/>
    <mergeCell ref="C59:C74"/>
    <mergeCell ref="A3:Z3"/>
    <mergeCell ref="A4:Z4"/>
    <mergeCell ref="D6:G6"/>
    <mergeCell ref="D7:G7"/>
    <mergeCell ref="A14:C14"/>
    <mergeCell ref="D14:I14"/>
  </mergeCells>
  <phoneticPr fontId="65" type="noConversion"/>
  <pageMargins left="0.511811023622047" right="0.511811023622047" top="0.55118110236220497" bottom="0.35433070866141703" header="0.31496062992126" footer="0.31496062992126"/>
  <pageSetup paperSize="9" scale="36" fitToHeight="5" orientation="landscape" r:id="rId1"/>
  <rowBreaks count="1" manualBreakCount="1">
    <brk id="76" max="2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F6811F-26B8-47B4-998F-FD0BBAF00539}"/>
</file>

<file path=customXml/itemProps2.xml><?xml version="1.0" encoding="utf-8"?>
<ds:datastoreItem xmlns:ds="http://schemas.openxmlformats.org/officeDocument/2006/customXml" ds:itemID="{809D1EC1-7A79-4514-B5FE-DE5032AA8B88}"/>
</file>

<file path=customXml/itemProps3.xml><?xml version="1.0" encoding="utf-8"?>
<ds:datastoreItem xmlns:ds="http://schemas.openxmlformats.org/officeDocument/2006/customXml" ds:itemID="{186CE2C0-7FBD-4FCB-A1E2-10C9929292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AU</vt:lpstr>
      <vt:lpstr>AU!Print_Area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cp:lastPrinted>2025-12-06T07:58:45Z</cp:lastPrinted>
  <dcterms:created xsi:type="dcterms:W3CDTF">2021-08-25T01:33:00Z</dcterms:created>
  <dcterms:modified xsi:type="dcterms:W3CDTF">2025-12-06T07:58:48Z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5050117B4A504FBBA0A3C89DCB35E416_13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0x010100EDA1E1172CD48640B915C04C1DCB5F42</vt:lpwstr>
  </property>
</Properties>
</file>