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karen-文档\outport docs\202512\C00638095\"/>
    </mc:Choice>
  </mc:AlternateContent>
  <xr:revisionPtr revIDLastSave="0" documentId="8_{A6AB2F18-A319-47D1-B297-45E59C5075C6}" xr6:coauthVersionLast="47" xr6:coauthVersionMax="47" xr10:uidLastSave="{00000000-0000-0000-0000-000000000000}"/>
  <bookViews>
    <workbookView xWindow="28680" yWindow="-120" windowWidth="29040" windowHeight="15720" xr2:uid="{76A2B493-57A7-4E25-88B1-0DFC2EC29DD2}"/>
  </bookViews>
  <sheets>
    <sheet name="AU Packing List" sheetId="1" r:id="rId1"/>
    <sheet name="工作表1" sheetId="2" r:id="rId2"/>
  </sheets>
  <definedNames>
    <definedName name="_xlnm._FilterDatabase" localSheetId="0" hidden="1">'AU Packing List'!$A$20:$R$79</definedName>
    <definedName name="_xlnm.Print_Area" localSheetId="0">'AU Packing List'!$A$1:$S$87</definedName>
    <definedName name="_xlnm.Print_Titles" localSheetId="0">'AU Packing List'!$20:$20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9" i="1" l="1"/>
  <c r="M79" i="1"/>
  <c r="R78" i="1"/>
  <c r="P78" i="1"/>
  <c r="R77" i="1"/>
  <c r="P77" i="1"/>
  <c r="R76" i="1"/>
  <c r="P76" i="1"/>
  <c r="R75" i="1"/>
  <c r="P75" i="1"/>
  <c r="R74" i="1"/>
  <c r="P74" i="1"/>
  <c r="R73" i="1"/>
  <c r="P73" i="1"/>
  <c r="R72" i="1"/>
  <c r="P72" i="1"/>
  <c r="R71" i="1"/>
  <c r="P71" i="1"/>
  <c r="R70" i="1"/>
  <c r="P70" i="1"/>
  <c r="R69" i="1"/>
  <c r="P69" i="1"/>
  <c r="R68" i="1"/>
  <c r="P68" i="1"/>
  <c r="R67" i="1"/>
  <c r="P67" i="1"/>
  <c r="R66" i="1"/>
  <c r="P66" i="1"/>
  <c r="R65" i="1"/>
  <c r="P65" i="1"/>
  <c r="R64" i="1"/>
  <c r="P64" i="1"/>
  <c r="R63" i="1"/>
  <c r="P63" i="1"/>
  <c r="R62" i="1"/>
  <c r="P62" i="1"/>
  <c r="R61" i="1"/>
  <c r="P61" i="1"/>
  <c r="R60" i="1"/>
  <c r="P60" i="1"/>
  <c r="R59" i="1"/>
  <c r="P59" i="1"/>
  <c r="R58" i="1"/>
  <c r="P58" i="1"/>
  <c r="R57" i="1"/>
  <c r="P57" i="1"/>
  <c r="R56" i="1"/>
  <c r="P56" i="1"/>
  <c r="R55" i="1"/>
  <c r="P55" i="1"/>
  <c r="R54" i="1"/>
  <c r="P54" i="1"/>
  <c r="R53" i="1"/>
  <c r="P53" i="1"/>
  <c r="R52" i="1"/>
  <c r="P52" i="1"/>
  <c r="R51" i="1"/>
  <c r="P51" i="1"/>
  <c r="R50" i="1"/>
  <c r="P50" i="1"/>
  <c r="R49" i="1"/>
  <c r="P49" i="1"/>
  <c r="R48" i="1"/>
  <c r="P48" i="1"/>
  <c r="R47" i="1"/>
  <c r="P47" i="1"/>
  <c r="R46" i="1"/>
  <c r="P46" i="1"/>
  <c r="R45" i="1"/>
  <c r="P45" i="1"/>
  <c r="R44" i="1"/>
  <c r="P44" i="1"/>
  <c r="R43" i="1"/>
  <c r="P43" i="1"/>
  <c r="R42" i="1"/>
  <c r="P42" i="1"/>
  <c r="R41" i="1"/>
  <c r="P41" i="1"/>
  <c r="R40" i="1"/>
  <c r="P40" i="1"/>
  <c r="R39" i="1"/>
  <c r="P39" i="1"/>
  <c r="R38" i="1"/>
  <c r="P38" i="1"/>
  <c r="R37" i="1"/>
  <c r="P37" i="1"/>
  <c r="R36" i="1"/>
  <c r="P36" i="1"/>
  <c r="R35" i="1"/>
  <c r="P35" i="1"/>
  <c r="R34" i="1"/>
  <c r="P34" i="1"/>
  <c r="R33" i="1"/>
  <c r="P33" i="1"/>
  <c r="R32" i="1"/>
  <c r="P32" i="1"/>
  <c r="R31" i="1"/>
  <c r="P31" i="1"/>
  <c r="R30" i="1"/>
  <c r="P30" i="1"/>
  <c r="R29" i="1"/>
  <c r="P29" i="1"/>
  <c r="R28" i="1"/>
  <c r="P28" i="1"/>
  <c r="R27" i="1"/>
  <c r="P27" i="1"/>
  <c r="R26" i="1"/>
  <c r="P26" i="1"/>
  <c r="R25" i="1"/>
  <c r="P25" i="1"/>
  <c r="R24" i="1"/>
  <c r="P24" i="1"/>
  <c r="R23" i="1"/>
  <c r="P23" i="1"/>
  <c r="R22" i="1"/>
  <c r="P22" i="1"/>
  <c r="R21" i="1"/>
  <c r="R79" i="1" s="1"/>
  <c r="P21" i="1"/>
  <c r="P79" i="1" s="1"/>
</calcChain>
</file>

<file path=xl/sharedStrings.xml><?xml version="1.0" encoding="utf-8"?>
<sst xmlns="http://schemas.openxmlformats.org/spreadsheetml/2006/main" count="649" uniqueCount="143">
  <si>
    <t>FIRST &amp; FOREMOST ENTERPRISE CO., LTD.</t>
    <phoneticPr fontId="4" type="noConversion"/>
  </si>
  <si>
    <t>PACKING LIST</t>
    <phoneticPr fontId="9" type="noConversion"/>
  </si>
  <si>
    <t>E-MAIL: fnfco2@outlook.com</t>
    <phoneticPr fontId="4" type="noConversion"/>
  </si>
  <si>
    <t xml:space="preserve"> 2nd  Floor, No. 1, CHUNG HSIAO E. ROAD SEC. 5, TAIPEI, TAIWAN 
</t>
  </si>
  <si>
    <t>****************************</t>
    <phoneticPr fontId="13" type="noConversion"/>
  </si>
  <si>
    <t>DATE:</t>
    <phoneticPr fontId="4" type="noConversion"/>
  </si>
  <si>
    <t>20251208</t>
    <phoneticPr fontId="13" type="noConversion"/>
  </si>
  <si>
    <t>Tel: +886-2- 25628913.</t>
    <phoneticPr fontId="13" type="noConversion"/>
  </si>
  <si>
    <t>INVOICE NO.</t>
    <phoneticPr fontId="4" type="noConversion"/>
  </si>
  <si>
    <t>INV-20251208/-1</t>
    <phoneticPr fontId="18" type="noConversion"/>
  </si>
  <si>
    <t>SHIPPING MARKS  :</t>
    <phoneticPr fontId="13" type="noConversion"/>
  </si>
  <si>
    <t xml:space="preserve">BRAND NAME  </t>
    <phoneticPr fontId="4" type="noConversion"/>
  </si>
  <si>
    <t>: CITY CHIC</t>
    <phoneticPr fontId="4" type="noConversion"/>
  </si>
  <si>
    <t xml:space="preserve">INVOICE OF  :                                      </t>
    <phoneticPr fontId="4" type="noConversion"/>
  </si>
  <si>
    <r>
      <rPr>
        <sz val="10"/>
        <rFont val="Microsoft JhengHei UI"/>
        <family val="2"/>
        <charset val="1"/>
      </rPr>
      <t>4,60</t>
    </r>
    <r>
      <rPr>
        <sz val="10"/>
        <rFont val="Arial"/>
        <family val="2"/>
      </rPr>
      <t>0 pcs ladies opaque tights</t>
    </r>
    <phoneticPr fontId="4" type="noConversion"/>
  </si>
  <si>
    <t>STYLE  NO</t>
    <phoneticPr fontId="4" type="noConversion"/>
  </si>
  <si>
    <t xml:space="preserve">SHIPPED ON OR ABOUT: </t>
    <phoneticPr fontId="4" type="noConversion"/>
  </si>
  <si>
    <t>Dec.27,2025</t>
    <phoneticPr fontId="13" type="noConversion"/>
  </si>
  <si>
    <t>DESCRIPTION</t>
    <phoneticPr fontId="4" type="noConversion"/>
  </si>
  <si>
    <t>PER S.S. :</t>
    <phoneticPr fontId="4" type="noConversion"/>
  </si>
  <si>
    <t>PELION 004S</t>
  </si>
  <si>
    <t>P/O NO</t>
    <phoneticPr fontId="4" type="noConversion"/>
  </si>
  <si>
    <t xml:space="preserve">FROM    :                  </t>
    <phoneticPr fontId="4" type="noConversion"/>
  </si>
  <si>
    <t>KAOHSIUNG, TAIWAN</t>
    <phoneticPr fontId="9" type="noConversion"/>
  </si>
  <si>
    <t>PACK CODE</t>
    <phoneticPr fontId="4" type="noConversion"/>
  </si>
  <si>
    <t>SHIP TO :</t>
    <phoneticPr fontId="4" type="noConversion"/>
  </si>
  <si>
    <t>SYDNEY, AUSTRALIA</t>
    <phoneticPr fontId="9" type="noConversion"/>
  </si>
  <si>
    <t>UPC/BARCODE CODE</t>
    <phoneticPr fontId="4" type="noConversion"/>
  </si>
  <si>
    <t xml:space="preserve">TO MESSRS :     </t>
    <phoneticPr fontId="4" type="noConversion"/>
  </si>
  <si>
    <t>CITY CHIC COLLECTIVE LIMITED</t>
    <phoneticPr fontId="4" type="noConversion"/>
  </si>
  <si>
    <t>SIZE</t>
    <phoneticPr fontId="4" type="noConversion"/>
  </si>
  <si>
    <t>S/M</t>
    <phoneticPr fontId="4" type="noConversion"/>
  </si>
  <si>
    <t>L/XL</t>
    <phoneticPr fontId="4" type="noConversion"/>
  </si>
  <si>
    <t>XXL</t>
    <phoneticPr fontId="4" type="noConversion"/>
  </si>
  <si>
    <t>TOTAL</t>
    <phoneticPr fontId="4" type="noConversion"/>
  </si>
  <si>
    <t>151-163 WYNDHAM ST, ALEXANDRIA, NSW</t>
    <phoneticPr fontId="4" type="noConversion"/>
  </si>
  <si>
    <t>BLACK</t>
    <phoneticPr fontId="4" type="noConversion"/>
  </si>
  <si>
    <t>2015 AUSTRALIA</t>
    <phoneticPr fontId="4" type="noConversion"/>
  </si>
  <si>
    <t>TOTAL UNITS PER CARTON :</t>
    <phoneticPr fontId="4" type="noConversion"/>
  </si>
  <si>
    <t xml:space="preserve">N.W </t>
    <phoneticPr fontId="4" type="noConversion"/>
  </si>
  <si>
    <t xml:space="preserve"> kgs</t>
    <phoneticPr fontId="4" type="noConversion"/>
  </si>
  <si>
    <t xml:space="preserve">G.W </t>
    <phoneticPr fontId="4" type="noConversion"/>
  </si>
  <si>
    <t xml:space="preserve"> </t>
    <phoneticPr fontId="13" type="noConversion"/>
  </si>
  <si>
    <t>COUNTRY OF ORIGIN: TAIWAN</t>
    <phoneticPr fontId="4" type="noConversion"/>
  </si>
  <si>
    <t>CARTON NO</t>
    <phoneticPr fontId="4" type="noConversion"/>
  </si>
  <si>
    <t>CARTON DIMENSIONS</t>
    <phoneticPr fontId="4" type="noConversion"/>
  </si>
  <si>
    <t>PO Number</t>
  </si>
  <si>
    <t>Style Number</t>
  </si>
  <si>
    <t xml:space="preserve">COMPOSITION: </t>
  </si>
  <si>
    <t>DESCRIPTION:</t>
    <phoneticPr fontId="18" type="noConversion"/>
  </si>
  <si>
    <t>UPC No</t>
  </si>
  <si>
    <t>HS Code</t>
  </si>
  <si>
    <t>Distribution channel</t>
  </si>
  <si>
    <t>CARTON NO.</t>
  </si>
  <si>
    <t>COL/SIZE</t>
  </si>
  <si>
    <t>S/M</t>
    <phoneticPr fontId="18" type="noConversion"/>
  </si>
  <si>
    <t>L/XL</t>
    <phoneticPr fontId="18" type="noConversion"/>
  </si>
  <si>
    <t>XXL</t>
    <phoneticPr fontId="18" type="noConversion"/>
  </si>
  <si>
    <t>TOTAL  PKS</t>
    <phoneticPr fontId="18" type="noConversion"/>
  </si>
  <si>
    <t>QUANTITY</t>
    <phoneticPr fontId="18" type="noConversion"/>
  </si>
  <si>
    <t>GROSS WEIGHT</t>
    <phoneticPr fontId="18" type="noConversion"/>
  </si>
  <si>
    <t>TOTAL GROSS WEIGHT</t>
    <phoneticPr fontId="18" type="noConversion"/>
  </si>
  <si>
    <t>NET WEIGHT</t>
    <phoneticPr fontId="18" type="noConversion"/>
  </si>
  <si>
    <t>TOTAL NET WEIGHT</t>
    <phoneticPr fontId="9" type="noConversion"/>
  </si>
  <si>
    <t>MEASUREMENT(CM)</t>
  </si>
  <si>
    <t>00224149</t>
    <phoneticPr fontId="18" type="noConversion"/>
  </si>
  <si>
    <t>88%NYLON11%SPANDEX1%RUBBER</t>
    <phoneticPr fontId="18" type="noConversion"/>
  </si>
  <si>
    <t>80D OPAQUE TIGHTS</t>
    <phoneticPr fontId="18" type="noConversion"/>
  </si>
  <si>
    <t xml:space="preserve">9361186133380       </t>
  </si>
  <si>
    <t xml:space="preserve"> 61152200.00-4</t>
  </si>
  <si>
    <t>REPLEN</t>
    <phoneticPr fontId="18" type="noConversion"/>
  </si>
  <si>
    <t>1</t>
    <phoneticPr fontId="18" type="noConversion"/>
  </si>
  <si>
    <t>BLACK-"S/M"</t>
    <phoneticPr fontId="18" type="noConversion"/>
  </si>
  <si>
    <t>59*24.5*53</t>
  </si>
  <si>
    <t>2</t>
    <phoneticPr fontId="9" type="noConversion"/>
  </si>
  <si>
    <t>3</t>
    <phoneticPr fontId="9" type="noConversion"/>
  </si>
  <si>
    <t>4</t>
    <phoneticPr fontId="9" type="noConversion"/>
  </si>
  <si>
    <t>5</t>
    <phoneticPr fontId="9" type="noConversion"/>
  </si>
  <si>
    <t>6</t>
    <phoneticPr fontId="9" type="noConversion"/>
  </si>
  <si>
    <t>7</t>
    <phoneticPr fontId="9" type="noConversion"/>
  </si>
  <si>
    <t>8</t>
    <phoneticPr fontId="9" type="noConversion"/>
  </si>
  <si>
    <t>9</t>
    <phoneticPr fontId="9" type="noConversion"/>
  </si>
  <si>
    <t>10</t>
    <phoneticPr fontId="13" type="noConversion"/>
  </si>
  <si>
    <t xml:space="preserve">9361186133397       </t>
  </si>
  <si>
    <t>11</t>
    <phoneticPr fontId="18" type="noConversion"/>
  </si>
  <si>
    <t>BLACK-"L/XL"</t>
    <phoneticPr fontId="18" type="noConversion"/>
  </si>
  <si>
    <t>12</t>
    <phoneticPr fontId="9" type="noConversion"/>
  </si>
  <si>
    <t>13</t>
    <phoneticPr fontId="9" type="noConversion"/>
  </si>
  <si>
    <t>14</t>
    <phoneticPr fontId="9" type="noConversion"/>
  </si>
  <si>
    <t>15</t>
    <phoneticPr fontId="9" type="noConversion"/>
  </si>
  <si>
    <t>16</t>
    <phoneticPr fontId="9" type="noConversion"/>
  </si>
  <si>
    <t>17</t>
    <phoneticPr fontId="9" type="noConversion"/>
  </si>
  <si>
    <t>18</t>
    <phoneticPr fontId="9" type="noConversion"/>
  </si>
  <si>
    <t>19</t>
    <phoneticPr fontId="13" type="noConversion"/>
  </si>
  <si>
    <t>20</t>
    <phoneticPr fontId="13" type="noConversion"/>
  </si>
  <si>
    <t xml:space="preserve">9361186133403       </t>
  </si>
  <si>
    <t>21</t>
    <phoneticPr fontId="18" type="noConversion"/>
  </si>
  <si>
    <t>BLACK-"XXL"</t>
    <phoneticPr fontId="18" type="noConversion"/>
  </si>
  <si>
    <t>22</t>
    <phoneticPr fontId="9" type="noConversion"/>
  </si>
  <si>
    <t>23</t>
    <phoneticPr fontId="9" type="noConversion"/>
  </si>
  <si>
    <t>24</t>
    <phoneticPr fontId="9" type="noConversion"/>
  </si>
  <si>
    <t>25</t>
    <phoneticPr fontId="9" type="noConversion"/>
  </si>
  <si>
    <t>26</t>
    <phoneticPr fontId="9" type="noConversion"/>
  </si>
  <si>
    <t>27</t>
    <phoneticPr fontId="9" type="noConversion"/>
  </si>
  <si>
    <t>28</t>
    <phoneticPr fontId="9" type="noConversion"/>
  </si>
  <si>
    <t>29</t>
    <phoneticPr fontId="9" type="noConversion"/>
  </si>
  <si>
    <t>30</t>
    <phoneticPr fontId="9" type="noConversion"/>
  </si>
  <si>
    <t>00224150</t>
    <phoneticPr fontId="18" type="noConversion"/>
  </si>
  <si>
    <t>120D OPAQUE TIGHTS</t>
    <phoneticPr fontId="18" type="noConversion"/>
  </si>
  <si>
    <t xml:space="preserve">9361186133410       </t>
  </si>
  <si>
    <t>31</t>
    <phoneticPr fontId="18" type="noConversion"/>
  </si>
  <si>
    <t>32</t>
    <phoneticPr fontId="9" type="noConversion"/>
  </si>
  <si>
    <t>33</t>
    <phoneticPr fontId="9" type="noConversion"/>
  </si>
  <si>
    <t>34</t>
    <phoneticPr fontId="9" type="noConversion"/>
  </si>
  <si>
    <t>35</t>
    <phoneticPr fontId="9" type="noConversion"/>
  </si>
  <si>
    <t>36</t>
    <phoneticPr fontId="9" type="noConversion"/>
  </si>
  <si>
    <t>37</t>
    <phoneticPr fontId="9" type="noConversion"/>
  </si>
  <si>
    <t>38</t>
    <phoneticPr fontId="9" type="noConversion"/>
  </si>
  <si>
    <t xml:space="preserve">9361186133427       </t>
  </si>
  <si>
    <t>39</t>
    <phoneticPr fontId="9" type="noConversion"/>
  </si>
  <si>
    <t>40</t>
    <phoneticPr fontId="9" type="noConversion"/>
  </si>
  <si>
    <t>41</t>
    <phoneticPr fontId="9" type="noConversion"/>
  </si>
  <si>
    <t>42</t>
    <phoneticPr fontId="9" type="noConversion"/>
  </si>
  <si>
    <t>43</t>
    <phoneticPr fontId="9" type="noConversion"/>
  </si>
  <si>
    <t>44</t>
    <phoneticPr fontId="9" type="noConversion"/>
  </si>
  <si>
    <t>45</t>
    <phoneticPr fontId="9" type="noConversion"/>
  </si>
  <si>
    <t>46</t>
    <phoneticPr fontId="9" type="noConversion"/>
  </si>
  <si>
    <t>47</t>
    <phoneticPr fontId="18" type="noConversion"/>
  </si>
  <si>
    <t>48</t>
    <phoneticPr fontId="18" type="noConversion"/>
  </si>
  <si>
    <t xml:space="preserve">9361186133434       </t>
  </si>
  <si>
    <t>49</t>
    <phoneticPr fontId="9" type="noConversion"/>
  </si>
  <si>
    <t>50</t>
    <phoneticPr fontId="9" type="noConversion"/>
  </si>
  <si>
    <t>51</t>
    <phoneticPr fontId="9" type="noConversion"/>
  </si>
  <si>
    <t>52</t>
    <phoneticPr fontId="9" type="noConversion"/>
  </si>
  <si>
    <t>53</t>
    <phoneticPr fontId="9" type="noConversion"/>
  </si>
  <si>
    <t>54</t>
    <phoneticPr fontId="9" type="noConversion"/>
  </si>
  <si>
    <t>55</t>
    <phoneticPr fontId="9" type="noConversion"/>
  </si>
  <si>
    <t>56</t>
    <phoneticPr fontId="9" type="noConversion"/>
  </si>
  <si>
    <t>57</t>
    <phoneticPr fontId="9" type="noConversion"/>
  </si>
  <si>
    <t>58</t>
    <phoneticPr fontId="9" type="noConversion"/>
  </si>
  <si>
    <t>SAY TOTAL FIFTY EIGHT ( 58 ) CARTONS ONLY.</t>
    <phoneticPr fontId="9" type="noConversion"/>
  </si>
  <si>
    <t xml:space="preserve">          Total : 4.80CBM</t>
    <phoneticPr fontId="13" type="noConversion"/>
  </si>
  <si>
    <t>*************************************************************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</si>
</sst>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_);[Red]\(0\)"/>
    <numFmt numFmtId="177" formatCode="0.00_ "/>
    <numFmt numFmtId="178" formatCode="0_ "/>
    <numFmt numFmtId="179" formatCode="#,##0.00_ "/>
  </numFmts>
  <fonts count="35" x14ac:knownFonts="1">
    <font>
      <sz val="12"/>
      <color theme="1"/>
      <name val="等线"/>
      <family val="2"/>
      <charset val="136"/>
      <scheme val="minor"/>
    </font>
    <font>
      <sz val="12"/>
      <name val="新細明體"/>
      <family val="1"/>
      <charset val="136"/>
    </font>
    <font>
      <b/>
      <sz val="14"/>
      <color indexed="62"/>
      <name val="Arial"/>
      <family val="2"/>
    </font>
    <font>
      <sz val="9"/>
      <name val="Calibri"/>
      <family val="2"/>
      <charset val="134"/>
    </font>
    <font>
      <sz val="9"/>
      <name val="新細明體"/>
      <family val="1"/>
      <charset val="136"/>
    </font>
    <font>
      <sz val="10"/>
      <color indexed="62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  <font>
      <b/>
      <sz val="16"/>
      <color indexed="62"/>
      <name val="Arial"/>
      <family val="2"/>
    </font>
    <font>
      <sz val="9"/>
      <name val="細明體"/>
      <family val="3"/>
      <charset val="136"/>
    </font>
    <font>
      <sz val="30"/>
      <name val="Arial"/>
      <family val="2"/>
    </font>
    <font>
      <sz val="10"/>
      <color rgb="FF0000CC"/>
      <name val="Arial"/>
      <family val="2"/>
    </font>
    <font>
      <b/>
      <sz val="12"/>
      <name val="Arial"/>
      <family val="2"/>
    </font>
    <font>
      <sz val="9"/>
      <name val="等线"/>
      <family val="2"/>
      <charset val="136"/>
      <scheme val="minor"/>
    </font>
    <font>
      <b/>
      <sz val="11"/>
      <name val="Arial"/>
      <family val="2"/>
    </font>
    <font>
      <sz val="12"/>
      <name val="宋体"/>
      <family val="3"/>
      <charset val="134"/>
    </font>
    <font>
      <b/>
      <sz val="10"/>
      <name val="Arial"/>
      <family val="2"/>
    </font>
    <font>
      <sz val="10"/>
      <color indexed="8"/>
      <name val="Arial"/>
      <family val="2"/>
    </font>
    <font>
      <sz val="9"/>
      <name val="宋体"/>
      <family val="3"/>
      <charset val="136"/>
    </font>
    <font>
      <b/>
      <sz val="11"/>
      <color indexed="8"/>
      <name val="Calibri"/>
      <family val="2"/>
    </font>
    <font>
      <sz val="10"/>
      <name val="Arial"/>
      <family val="2"/>
      <charset val="1"/>
    </font>
    <font>
      <sz val="10"/>
      <name val="Microsoft JhengHei UI"/>
      <family val="2"/>
      <charset val="1"/>
    </font>
    <font>
      <sz val="10"/>
      <color theme="1"/>
      <name val="Arial"/>
      <family val="2"/>
    </font>
    <font>
      <sz val="12"/>
      <color theme="1"/>
      <name val="Consolas"/>
      <family val="3"/>
    </font>
    <font>
      <b/>
      <sz val="11"/>
      <color indexed="8"/>
      <name val="Arial"/>
      <family val="2"/>
    </font>
    <font>
      <sz val="11"/>
      <color rgb="FF000000"/>
      <name val="等线"/>
      <family val="2"/>
      <scheme val="minor"/>
    </font>
    <font>
      <b/>
      <sz val="10"/>
      <color rgb="FF000000"/>
      <name val="Segoe UI"/>
      <family val="2"/>
    </font>
    <font>
      <sz val="10"/>
      <color rgb="FF000000"/>
      <name val="Arial"/>
      <family val="2"/>
    </font>
    <font>
      <sz val="10"/>
      <color rgb="FF000000"/>
      <name val="Segoe UI"/>
      <family val="2"/>
    </font>
    <font>
      <b/>
      <sz val="12"/>
      <name val="新細明體"/>
      <family val="1"/>
      <charset val="136"/>
    </font>
    <font>
      <sz val="11"/>
      <color indexed="8"/>
      <name val="Arial"/>
      <family val="2"/>
    </font>
    <font>
      <b/>
      <sz val="11"/>
      <color rgb="FFFF0000"/>
      <name val="Microsoft JhengHei"/>
      <family val="2"/>
      <charset val="136"/>
    </font>
    <font>
      <b/>
      <sz val="11"/>
      <color rgb="FFFF0000"/>
      <name val="Arial"/>
      <family val="2"/>
    </font>
    <font>
      <b/>
      <sz val="12"/>
      <color indexed="8"/>
      <name val="Arial"/>
      <family val="2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C0C0C0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8">
    <xf numFmtId="0" fontId="0" fillId="0" borderId="0">
      <alignment vertical="center"/>
    </xf>
    <xf numFmtId="0" fontId="1" fillId="0" borderId="0"/>
    <xf numFmtId="0" fontId="6" fillId="0" borderId="0"/>
    <xf numFmtId="0" fontId="15" fillId="0" borderId="0"/>
    <xf numFmtId="0" fontId="1" fillId="0" borderId="0"/>
    <xf numFmtId="0" fontId="15" fillId="0" borderId="0"/>
    <xf numFmtId="0" fontId="15" fillId="0" borderId="0"/>
    <xf numFmtId="0" fontId="25" fillId="0" borderId="0"/>
  </cellStyleXfs>
  <cellXfs count="106">
    <xf numFmtId="0" fontId="0" fillId="0" borderId="0" xfId="0">
      <alignment vertical="center"/>
    </xf>
    <xf numFmtId="0" fontId="2" fillId="2" borderId="0" xfId="1" applyFont="1" applyFill="1"/>
    <xf numFmtId="0" fontId="5" fillId="2" borderId="0" xfId="1" applyFont="1" applyFill="1"/>
    <xf numFmtId="0" fontId="7" fillId="2" borderId="0" xfId="2" applyFont="1" applyFill="1" applyAlignment="1">
      <alignment vertical="center"/>
    </xf>
    <xf numFmtId="0" fontId="8" fillId="2" borderId="0" xfId="1" applyFont="1" applyFill="1" applyAlignment="1">
      <alignment horizontal="right"/>
    </xf>
    <xf numFmtId="0" fontId="5" fillId="2" borderId="0" xfId="1" applyFont="1" applyFill="1" applyAlignment="1">
      <alignment horizontal="left"/>
    </xf>
    <xf numFmtId="0" fontId="7" fillId="2" borderId="0" xfId="2" applyFont="1" applyFill="1" applyAlignment="1">
      <alignment horizontal="right" vertical="center"/>
    </xf>
    <xf numFmtId="0" fontId="10" fillId="2" borderId="0" xfId="2" applyFont="1" applyFill="1" applyAlignment="1">
      <alignment horizontal="center" vertical="center"/>
    </xf>
    <xf numFmtId="0" fontId="11" fillId="2" borderId="0" xfId="2" applyFont="1" applyFill="1" applyAlignment="1">
      <alignment horizontal="left" vertical="center"/>
    </xf>
    <xf numFmtId="0" fontId="7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right" vertical="center"/>
    </xf>
    <xf numFmtId="176" fontId="7" fillId="2" borderId="0" xfId="1" applyNumberFormat="1" applyFont="1" applyFill="1" applyAlignment="1">
      <alignment horizontal="left"/>
    </xf>
    <xf numFmtId="0" fontId="7" fillId="2" borderId="0" xfId="2" quotePrefix="1" applyFont="1" applyFill="1" applyAlignment="1">
      <alignment horizontal="left" vertical="center"/>
    </xf>
    <xf numFmtId="0" fontId="14" fillId="2" borderId="0" xfId="2" applyFont="1" applyFill="1" applyAlignment="1">
      <alignment horizontal="center" vertical="center"/>
    </xf>
    <xf numFmtId="0" fontId="16" fillId="2" borderId="0" xfId="3" applyFont="1" applyFill="1" applyAlignment="1">
      <alignment horizontal="left" vertical="center"/>
    </xf>
    <xf numFmtId="176" fontId="7" fillId="2" borderId="0" xfId="1" applyNumberFormat="1" applyFont="1" applyFill="1"/>
    <xf numFmtId="0" fontId="17" fillId="2" borderId="0" xfId="2" applyFont="1" applyFill="1" applyAlignment="1">
      <alignment horizontal="left"/>
    </xf>
    <xf numFmtId="0" fontId="17" fillId="2" borderId="0" xfId="2" applyFont="1" applyFill="1"/>
    <xf numFmtId="0" fontId="7" fillId="2" borderId="0" xfId="3" applyFont="1" applyFill="1" applyAlignment="1">
      <alignment horizontal="left" vertical="center"/>
    </xf>
    <xf numFmtId="0" fontId="16" fillId="2" borderId="0" xfId="2" applyFont="1" applyFill="1" applyAlignment="1">
      <alignment vertical="center" wrapText="1"/>
    </xf>
    <xf numFmtId="0" fontId="19" fillId="2" borderId="0" xfId="2" applyFont="1" applyFill="1" applyAlignment="1">
      <alignment vertical="center" wrapText="1"/>
    </xf>
    <xf numFmtId="0" fontId="7" fillId="2" borderId="1" xfId="2" applyFont="1" applyFill="1" applyBorder="1" applyAlignment="1">
      <alignment horizontal="left"/>
    </xf>
    <xf numFmtId="0" fontId="7" fillId="2" borderId="2" xfId="2" applyFont="1" applyFill="1" applyBorder="1"/>
    <xf numFmtId="0" fontId="7" fillId="2" borderId="2" xfId="4" applyFont="1" applyFill="1" applyBorder="1" applyAlignment="1">
      <alignment horizontal="right"/>
    </xf>
    <xf numFmtId="0" fontId="7" fillId="2" borderId="2" xfId="2" applyFont="1" applyFill="1" applyBorder="1" applyAlignment="1">
      <alignment vertical="center"/>
    </xf>
    <xf numFmtId="0" fontId="7" fillId="2" borderId="3" xfId="2" applyFont="1" applyFill="1" applyBorder="1"/>
    <xf numFmtId="176" fontId="20" fillId="2" borderId="0" xfId="1" quotePrefix="1" applyNumberFormat="1" applyFont="1" applyFill="1"/>
    <xf numFmtId="0" fontId="7" fillId="2" borderId="4" xfId="2" applyFont="1" applyFill="1" applyBorder="1" applyAlignment="1">
      <alignment horizontal="left"/>
    </xf>
    <xf numFmtId="0" fontId="22" fillId="2" borderId="0" xfId="2" quotePrefix="1" applyFont="1" applyFill="1" applyAlignment="1">
      <alignment horizontal="left" vertical="top"/>
    </xf>
    <xf numFmtId="0" fontId="7" fillId="2" borderId="0" xfId="2" applyFont="1" applyFill="1"/>
    <xf numFmtId="0" fontId="7" fillId="2" borderId="5" xfId="2" applyFont="1" applyFill="1" applyBorder="1"/>
    <xf numFmtId="0" fontId="23" fillId="2" borderId="0" xfId="0" applyFont="1" applyFill="1">
      <alignment vertical="center"/>
    </xf>
    <xf numFmtId="0" fontId="7" fillId="2" borderId="4" xfId="2" applyFont="1" applyFill="1" applyBorder="1"/>
    <xf numFmtId="0" fontId="14" fillId="2" borderId="0" xfId="2" applyFont="1" applyFill="1" applyAlignment="1">
      <alignment horizontal="left" vertical="center"/>
    </xf>
    <xf numFmtId="0" fontId="7" fillId="2" borderId="0" xfId="2" quotePrefix="1" applyFont="1" applyFill="1"/>
    <xf numFmtId="0" fontId="7" fillId="2" borderId="6" xfId="0" applyFont="1" applyFill="1" applyBorder="1" applyAlignment="1">
      <alignment horizontal="left" vertical="center"/>
    </xf>
    <xf numFmtId="0" fontId="7" fillId="2" borderId="7" xfId="2" applyFont="1" applyFill="1" applyBorder="1"/>
    <xf numFmtId="0" fontId="7" fillId="2" borderId="8" xfId="2" applyFont="1" applyFill="1" applyBorder="1"/>
    <xf numFmtId="0" fontId="16" fillId="2" borderId="0" xfId="5" applyFont="1" applyFill="1" applyAlignment="1">
      <alignment horizontal="left" vertical="center"/>
    </xf>
    <xf numFmtId="0" fontId="7" fillId="2" borderId="9" xfId="2" applyFont="1" applyFill="1" applyBorder="1" applyAlignment="1">
      <alignment horizontal="left" vertical="center"/>
    </xf>
    <xf numFmtId="177" fontId="7" fillId="2" borderId="10" xfId="2" applyNumberFormat="1" applyFont="1" applyFill="1" applyBorder="1" applyAlignment="1">
      <alignment horizontal="center" vertical="center"/>
    </xf>
    <xf numFmtId="0" fontId="7" fillId="2" borderId="11" xfId="2" applyFont="1" applyFill="1" applyBorder="1" applyAlignment="1">
      <alignment horizontal="center" vertical="center"/>
    </xf>
    <xf numFmtId="0" fontId="7" fillId="2" borderId="12" xfId="2" applyFont="1" applyFill="1" applyBorder="1" applyAlignment="1">
      <alignment horizontal="center" vertical="center"/>
    </xf>
    <xf numFmtId="178" fontId="7" fillId="2" borderId="13" xfId="2" quotePrefix="1" applyNumberFormat="1" applyFont="1" applyFill="1" applyBorder="1" applyAlignment="1">
      <alignment horizontal="center" vertical="center"/>
    </xf>
    <xf numFmtId="178" fontId="7" fillId="2" borderId="13" xfId="2" applyNumberFormat="1" applyFont="1" applyFill="1" applyBorder="1" applyAlignment="1">
      <alignment horizontal="center" vertical="center"/>
    </xf>
    <xf numFmtId="0" fontId="7" fillId="2" borderId="13" xfId="2" applyFont="1" applyFill="1" applyBorder="1" applyAlignment="1">
      <alignment horizontal="center" vertical="center"/>
    </xf>
    <xf numFmtId="0" fontId="7" fillId="2" borderId="14" xfId="2" applyFont="1" applyFill="1" applyBorder="1" applyAlignment="1">
      <alignment horizontal="center" vertical="center"/>
    </xf>
    <xf numFmtId="0" fontId="16" fillId="2" borderId="0" xfId="6" applyFont="1" applyFill="1" applyAlignment="1">
      <alignment horizontal="left" vertical="center"/>
    </xf>
    <xf numFmtId="0" fontId="7" fillId="2" borderId="15" xfId="2" applyFont="1" applyFill="1" applyBorder="1"/>
    <xf numFmtId="0" fontId="7" fillId="2" borderId="16" xfId="2" applyFont="1" applyFill="1" applyBorder="1" applyAlignment="1">
      <alignment horizontal="left"/>
    </xf>
    <xf numFmtId="0" fontId="7" fillId="2" borderId="16" xfId="2" applyFont="1" applyFill="1" applyBorder="1" applyAlignment="1">
      <alignment horizontal="center"/>
    </xf>
    <xf numFmtId="0" fontId="7" fillId="2" borderId="16" xfId="2" applyFont="1" applyFill="1" applyBorder="1"/>
    <xf numFmtId="0" fontId="7" fillId="2" borderId="17" xfId="2" applyFont="1" applyFill="1" applyBorder="1"/>
    <xf numFmtId="0" fontId="7" fillId="2" borderId="18" xfId="2" applyFont="1" applyFill="1" applyBorder="1" applyAlignment="1">
      <alignment horizontal="right"/>
    </xf>
    <xf numFmtId="0" fontId="7" fillId="2" borderId="0" xfId="6" applyFont="1" applyFill="1" applyAlignment="1">
      <alignment horizontal="center" vertical="center"/>
    </xf>
    <xf numFmtId="0" fontId="7" fillId="2" borderId="19" xfId="2" applyFont="1" applyFill="1" applyBorder="1" applyAlignment="1">
      <alignment horizontal="right"/>
    </xf>
    <xf numFmtId="176" fontId="7" fillId="2" borderId="0" xfId="1" applyNumberFormat="1" applyFont="1" applyFill="1" applyAlignment="1">
      <alignment horizontal="center"/>
    </xf>
    <xf numFmtId="0" fontId="22" fillId="2" borderId="0" xfId="2" applyFont="1" applyFill="1" applyAlignment="1">
      <alignment horizontal="center" vertical="center"/>
    </xf>
    <xf numFmtId="0" fontId="17" fillId="2" borderId="19" xfId="2" applyFont="1" applyFill="1" applyBorder="1"/>
    <xf numFmtId="0" fontId="16" fillId="2" borderId="0" xfId="6" applyFont="1" applyFill="1" applyAlignment="1">
      <alignment horizontal="center" vertical="center"/>
    </xf>
    <xf numFmtId="0" fontId="7" fillId="2" borderId="19" xfId="2" applyFont="1" applyFill="1" applyBorder="1"/>
    <xf numFmtId="0" fontId="16" fillId="2" borderId="0" xfId="6" applyFont="1" applyFill="1" applyAlignment="1">
      <alignment horizontal="center" vertical="center" wrapText="1"/>
    </xf>
    <xf numFmtId="0" fontId="24" fillId="2" borderId="0" xfId="2" applyFont="1" applyFill="1"/>
    <xf numFmtId="0" fontId="7" fillId="2" borderId="20" xfId="2" applyFont="1" applyFill="1" applyBorder="1"/>
    <xf numFmtId="0" fontId="7" fillId="2" borderId="21" xfId="2" applyFont="1" applyFill="1" applyBorder="1"/>
    <xf numFmtId="0" fontId="7" fillId="2" borderId="22" xfId="2" applyFont="1" applyFill="1" applyBorder="1"/>
    <xf numFmtId="0" fontId="7" fillId="2" borderId="23" xfId="2" applyFont="1" applyFill="1" applyBorder="1"/>
    <xf numFmtId="0" fontId="16" fillId="2" borderId="22" xfId="6" applyFont="1" applyFill="1" applyBorder="1" applyAlignment="1">
      <alignment horizontal="center" vertical="center"/>
    </xf>
    <xf numFmtId="0" fontId="16" fillId="2" borderId="24" xfId="6" applyFont="1" applyFill="1" applyBorder="1" applyAlignment="1">
      <alignment horizontal="center" vertical="center" wrapText="1"/>
    </xf>
    <xf numFmtId="0" fontId="16" fillId="2" borderId="1" xfId="6" applyFont="1" applyFill="1" applyBorder="1" applyAlignment="1">
      <alignment horizontal="center" vertical="center" wrapText="1"/>
    </xf>
    <xf numFmtId="0" fontId="26" fillId="3" borderId="25" xfId="7" applyFont="1" applyFill="1" applyBorder="1" applyAlignment="1">
      <alignment horizontal="center" vertical="center" wrapText="1" readingOrder="1"/>
    </xf>
    <xf numFmtId="0" fontId="16" fillId="2" borderId="3" xfId="6" applyFont="1" applyFill="1" applyBorder="1" applyAlignment="1">
      <alignment horizontal="center" vertical="center" wrapText="1"/>
    </xf>
    <xf numFmtId="0" fontId="16" fillId="2" borderId="26" xfId="6" applyFont="1" applyFill="1" applyBorder="1" applyAlignment="1">
      <alignment horizontal="center" vertical="center" wrapText="1"/>
    </xf>
    <xf numFmtId="0" fontId="27" fillId="2" borderId="10" xfId="0" applyFont="1" applyFill="1" applyBorder="1" applyAlignment="1">
      <alignment horizontal="center" vertical="center" wrapText="1" readingOrder="1"/>
    </xf>
    <xf numFmtId="49" fontId="7" fillId="2" borderId="24" xfId="6" quotePrefix="1" applyNumberFormat="1" applyFont="1" applyFill="1" applyBorder="1" applyAlignment="1">
      <alignment horizontal="center" vertical="center" wrapText="1"/>
    </xf>
    <xf numFmtId="176" fontId="17" fillId="2" borderId="27" xfId="6" applyNumberFormat="1" applyFont="1" applyFill="1" applyBorder="1" applyAlignment="1">
      <alignment horizontal="center" vertical="center" wrapText="1"/>
    </xf>
    <xf numFmtId="0" fontId="17" fillId="2" borderId="27" xfId="2" applyFont="1" applyFill="1" applyBorder="1" applyAlignment="1">
      <alignment horizontal="center"/>
    </xf>
    <xf numFmtId="0" fontId="28" fillId="2" borderId="28" xfId="7" applyFont="1" applyFill="1" applyBorder="1" applyAlignment="1">
      <alignment horizontal="center" vertical="center" wrapText="1" readingOrder="1"/>
    </xf>
    <xf numFmtId="0" fontId="7" fillId="2" borderId="29" xfId="2" applyFont="1" applyFill="1" applyBorder="1" applyAlignment="1">
      <alignment vertical="center"/>
    </xf>
    <xf numFmtId="176" fontId="7" fillId="2" borderId="30" xfId="6" applyNumberFormat="1" applyFont="1" applyFill="1" applyBorder="1" applyAlignment="1">
      <alignment horizontal="center" vertical="center" wrapText="1"/>
    </xf>
    <xf numFmtId="49" fontId="7" fillId="2" borderId="24" xfId="6" applyNumberFormat="1" applyFont="1" applyFill="1" applyBorder="1" applyAlignment="1">
      <alignment horizontal="center" vertical="center" wrapText="1"/>
    </xf>
    <xf numFmtId="14" fontId="7" fillId="2" borderId="24" xfId="6" applyNumberFormat="1" applyFont="1" applyFill="1" applyBorder="1" applyAlignment="1">
      <alignment horizontal="center" vertical="center" wrapText="1"/>
    </xf>
    <xf numFmtId="0" fontId="7" fillId="2" borderId="24" xfId="6" applyFont="1" applyFill="1" applyBorder="1" applyAlignment="1">
      <alignment horizontal="center" vertical="center" wrapText="1"/>
    </xf>
    <xf numFmtId="0" fontId="29" fillId="2" borderId="10" xfId="2" applyFont="1" applyFill="1" applyBorder="1"/>
    <xf numFmtId="0" fontId="30" fillId="2" borderId="0" xfId="2" applyFont="1" applyFill="1"/>
    <xf numFmtId="49" fontId="7" fillId="2" borderId="26" xfId="6" applyNumberFormat="1" applyFont="1" applyFill="1" applyBorder="1" applyAlignment="1">
      <alignment horizontal="center" vertical="center" wrapText="1"/>
    </xf>
    <xf numFmtId="49" fontId="7" fillId="2" borderId="31" xfId="6" applyNumberFormat="1" applyFont="1" applyFill="1" applyBorder="1" applyAlignment="1">
      <alignment horizontal="center" vertical="center" wrapText="1"/>
    </xf>
    <xf numFmtId="14" fontId="7" fillId="2" borderId="26" xfId="6" applyNumberFormat="1" applyFont="1" applyFill="1" applyBorder="1" applyAlignment="1">
      <alignment horizontal="center" vertical="center" wrapText="1"/>
    </xf>
    <xf numFmtId="49" fontId="7" fillId="2" borderId="30" xfId="6" applyNumberFormat="1" applyFont="1" applyFill="1" applyBorder="1" applyAlignment="1">
      <alignment horizontal="center" vertical="center" wrapText="1"/>
    </xf>
    <xf numFmtId="176" fontId="17" fillId="2" borderId="19" xfId="6" applyNumberFormat="1" applyFont="1" applyFill="1" applyBorder="1" applyAlignment="1">
      <alignment horizontal="center" vertical="center" wrapText="1"/>
    </xf>
    <xf numFmtId="0" fontId="17" fillId="2" borderId="4" xfId="2" applyFont="1" applyFill="1" applyBorder="1" applyAlignment="1">
      <alignment horizontal="center"/>
    </xf>
    <xf numFmtId="176" fontId="7" fillId="2" borderId="5" xfId="6" applyNumberFormat="1" applyFont="1" applyFill="1" applyBorder="1" applyAlignment="1">
      <alignment horizontal="center" vertical="center" wrapText="1"/>
    </xf>
    <xf numFmtId="0" fontId="28" fillId="2" borderId="32" xfId="7" applyFont="1" applyFill="1" applyBorder="1" applyAlignment="1">
      <alignment horizontal="center" vertical="center" wrapText="1" readingOrder="1"/>
    </xf>
    <xf numFmtId="0" fontId="29" fillId="2" borderId="13" xfId="2" applyFont="1" applyFill="1" applyBorder="1"/>
    <xf numFmtId="0" fontId="24" fillId="2" borderId="33" xfId="2" applyFont="1" applyFill="1" applyBorder="1"/>
    <xf numFmtId="176" fontId="16" fillId="2" borderId="33" xfId="6" applyNumberFormat="1" applyFont="1" applyFill="1" applyBorder="1" applyAlignment="1">
      <alignment horizontal="center" vertical="center" wrapText="1"/>
    </xf>
    <xf numFmtId="176" fontId="24" fillId="2" borderId="33" xfId="2" applyNumberFormat="1" applyFont="1" applyFill="1" applyBorder="1"/>
    <xf numFmtId="179" fontId="16" fillId="2" borderId="33" xfId="6" applyNumberFormat="1" applyFont="1" applyFill="1" applyBorder="1" applyAlignment="1">
      <alignment horizontal="center" vertical="center" wrapText="1"/>
    </xf>
    <xf numFmtId="179" fontId="24" fillId="2" borderId="33" xfId="2" applyNumberFormat="1" applyFont="1" applyFill="1" applyBorder="1"/>
    <xf numFmtId="0" fontId="24" fillId="2" borderId="34" xfId="2" applyFont="1" applyFill="1" applyBorder="1"/>
    <xf numFmtId="0" fontId="31" fillId="2" borderId="0" xfId="2" applyFont="1" applyFill="1" applyAlignment="1">
      <alignment horizontal="right"/>
    </xf>
    <xf numFmtId="0" fontId="32" fillId="2" borderId="0" xfId="2" applyFont="1" applyFill="1" applyAlignment="1">
      <alignment horizontal="left"/>
    </xf>
    <xf numFmtId="179" fontId="16" fillId="2" borderId="0" xfId="6" applyNumberFormat="1" applyFont="1" applyFill="1" applyAlignment="1">
      <alignment horizontal="center" vertical="center" wrapText="1"/>
    </xf>
    <xf numFmtId="0" fontId="33" fillId="2" borderId="0" xfId="2" applyFont="1" applyFill="1"/>
    <xf numFmtId="0" fontId="28" fillId="2" borderId="0" xfId="7" applyFont="1" applyFill="1" applyAlignment="1">
      <alignment horizontal="center" vertical="center" wrapText="1" readingOrder="1"/>
    </xf>
    <xf numFmtId="0" fontId="26" fillId="3" borderId="0" xfId="7" applyFont="1" applyFill="1" applyAlignment="1">
      <alignment horizontal="center" vertical="center" wrapText="1" readingOrder="1"/>
    </xf>
  </cellXfs>
  <cellStyles count="8">
    <cellStyle name="Normal" xfId="0" builtinId="0"/>
    <cellStyle name="Normal 2" xfId="3" xr:uid="{D6088B38-E72B-4B2F-ACA4-AE4ECF38CDEF}"/>
    <cellStyle name="一般 3" xfId="2" xr:uid="{8794E5D3-E9D9-4422-BCA0-60498D09C8A9}"/>
    <cellStyle name="一般 4" xfId="4" xr:uid="{F15B9447-0C9E-4A40-8C9D-8E73E4959805}"/>
    <cellStyle name="一般 5" xfId="7" xr:uid="{AA411F08-4961-463B-B881-457EDADC1A7A}"/>
    <cellStyle name="一般_Sheet1" xfId="1" xr:uid="{7F6140EB-DB32-4073-ABE3-8389DCCEA436}"/>
    <cellStyle name="常规 2 3 3 2" xfId="6" xr:uid="{A8E61A36-B288-4251-8DA3-452CE665A875}"/>
    <cellStyle name="常规 4 2" xfId="5" xr:uid="{12704518-8AAB-40B5-B49D-EC5AACDA626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56029</xdr:colOff>
      <xdr:row>79</xdr:row>
      <xdr:rowOff>134470</xdr:rowOff>
    </xdr:from>
    <xdr:to>
      <xdr:col>12</xdr:col>
      <xdr:colOff>526931</xdr:colOff>
      <xdr:row>86</xdr:row>
      <xdr:rowOff>33448</xdr:rowOff>
    </xdr:to>
    <xdr:pic>
      <xdr:nvPicPr>
        <xdr:cNvPr id="2" name="圖片 1" descr="一張含有 文字, 字型, 行, 筆跡 的圖片&#10;&#10;AI 產生的內容可能不正確。">
          <a:extLst>
            <a:ext uri="{FF2B5EF4-FFF2-40B4-BE49-F238E27FC236}">
              <a16:creationId xmlns:a16="http://schemas.microsoft.com/office/drawing/2014/main" id="{75531CF2-5AC0-4B16-BDB1-7936E26AEC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18854" y="25804345"/>
          <a:ext cx="3366502" cy="122295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25</xdr:col>
      <xdr:colOff>188819</xdr:colOff>
      <xdr:row>23</xdr:row>
      <xdr:rowOff>159063</xdr:rowOff>
    </xdr:to>
    <xdr:pic>
      <xdr:nvPicPr>
        <xdr:cNvPr id="2" name="圖片 2">
          <a:extLst>
            <a:ext uri="{FF2B5EF4-FFF2-40B4-BE49-F238E27FC236}">
              <a16:creationId xmlns:a16="http://schemas.microsoft.com/office/drawing/2014/main" id="{72B9C1B5-6E35-4AC1-B867-F51B2B566A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00100"/>
          <a:ext cx="17333819" cy="39595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A0FF5-3396-4B9E-AF87-006147E79E11}">
  <sheetPr>
    <tabColor theme="0"/>
  </sheetPr>
  <dimension ref="A1:S93"/>
  <sheetViews>
    <sheetView showGridLines="0" tabSelected="1" view="pageBreakPreview" topLeftCell="A68" zoomScale="85" zoomScaleNormal="85" zoomScaleSheetLayoutView="85" workbookViewId="0">
      <pane activePane="bottomRight" state="frozen"/>
      <selection activeCell="O84" sqref="O84"/>
    </sheetView>
  </sheetViews>
  <sheetFormatPr defaultColWidth="9" defaultRowHeight="15" x14ac:dyDescent="0.25"/>
  <cols>
    <col min="1" max="1" width="10.125" style="62" customWidth="1"/>
    <col min="2" max="2" width="9.375" style="62" customWidth="1"/>
    <col min="3" max="3" width="21.5" style="62" customWidth="1"/>
    <col min="4" max="4" width="18.25" style="62" customWidth="1"/>
    <col min="5" max="5" width="13.375" style="62" customWidth="1"/>
    <col min="6" max="6" width="13.875" style="62" customWidth="1"/>
    <col min="7" max="7" width="10.125" style="62" customWidth="1"/>
    <col min="8" max="8" width="7.5" style="62" customWidth="1"/>
    <col min="9" max="9" width="11.75" style="62" customWidth="1"/>
    <col min="10" max="10" width="6.5" style="62" customWidth="1"/>
    <col min="11" max="11" width="5.625" style="62" customWidth="1"/>
    <col min="12" max="12" width="6.625" style="62" customWidth="1"/>
    <col min="13" max="13" width="7.125" style="62" customWidth="1"/>
    <col min="14" max="14" width="10" style="62" customWidth="1"/>
    <col min="15" max="15" width="8.25" style="62" customWidth="1"/>
    <col min="16" max="16" width="8.5" style="62" customWidth="1"/>
    <col min="17" max="17" width="7.75" style="62" customWidth="1"/>
    <col min="18" max="18" width="8.25" style="62" customWidth="1"/>
    <col min="19" max="19" width="12" style="62" customWidth="1"/>
    <col min="20" max="248" width="9" style="62"/>
    <col min="249" max="249" width="13.125" style="62" customWidth="1"/>
    <col min="250" max="250" width="13.5" style="62" customWidth="1"/>
    <col min="251" max="251" width="21.625" style="62" customWidth="1"/>
    <col min="252" max="252" width="23.5" style="62" customWidth="1"/>
    <col min="253" max="254" width="16.5" style="62" customWidth="1"/>
    <col min="255" max="255" width="18.375" style="62" customWidth="1"/>
    <col min="256" max="256" width="13.375" style="62" customWidth="1"/>
    <col min="257" max="257" width="11.375" style="62" customWidth="1"/>
    <col min="258" max="258" width="14.375" style="62" customWidth="1"/>
    <col min="259" max="259" width="16.625" style="62" customWidth="1"/>
    <col min="260" max="262" width="10" style="62" customWidth="1"/>
    <col min="263" max="264" width="10.625" style="62" customWidth="1"/>
    <col min="265" max="266" width="12.875" style="62" customWidth="1"/>
    <col min="267" max="267" width="15" style="62" customWidth="1"/>
    <col min="268" max="268" width="13.875" style="62" customWidth="1"/>
    <col min="269" max="269" width="12" style="62" customWidth="1"/>
    <col min="270" max="270" width="10.875" style="62" customWidth="1"/>
    <col min="271" max="271" width="18.375" style="62" customWidth="1"/>
    <col min="272" max="272" width="10.5" style="62" customWidth="1"/>
    <col min="273" max="504" width="9" style="62"/>
    <col min="505" max="505" width="13.125" style="62" customWidth="1"/>
    <col min="506" max="506" width="13.5" style="62" customWidth="1"/>
    <col min="507" max="507" width="21.625" style="62" customWidth="1"/>
    <col min="508" max="508" width="23.5" style="62" customWidth="1"/>
    <col min="509" max="510" width="16.5" style="62" customWidth="1"/>
    <col min="511" max="511" width="18.375" style="62" customWidth="1"/>
    <col min="512" max="512" width="13.375" style="62" customWidth="1"/>
    <col min="513" max="513" width="11.375" style="62" customWidth="1"/>
    <col min="514" max="514" width="14.375" style="62" customWidth="1"/>
    <col min="515" max="515" width="16.625" style="62" customWidth="1"/>
    <col min="516" max="518" width="10" style="62" customWidth="1"/>
    <col min="519" max="520" width="10.625" style="62" customWidth="1"/>
    <col min="521" max="522" width="12.875" style="62" customWidth="1"/>
    <col min="523" max="523" width="15" style="62" customWidth="1"/>
    <col min="524" max="524" width="13.875" style="62" customWidth="1"/>
    <col min="525" max="525" width="12" style="62" customWidth="1"/>
    <col min="526" max="526" width="10.875" style="62" customWidth="1"/>
    <col min="527" max="527" width="18.375" style="62" customWidth="1"/>
    <col min="528" max="528" width="10.5" style="62" customWidth="1"/>
    <col min="529" max="760" width="9" style="62"/>
    <col min="761" max="761" width="13.125" style="62" customWidth="1"/>
    <col min="762" max="762" width="13.5" style="62" customWidth="1"/>
    <col min="763" max="763" width="21.625" style="62" customWidth="1"/>
    <col min="764" max="764" width="23.5" style="62" customWidth="1"/>
    <col min="765" max="766" width="16.5" style="62" customWidth="1"/>
    <col min="767" max="767" width="18.375" style="62" customWidth="1"/>
    <col min="768" max="768" width="13.375" style="62" customWidth="1"/>
    <col min="769" max="769" width="11.375" style="62" customWidth="1"/>
    <col min="770" max="770" width="14.375" style="62" customWidth="1"/>
    <col min="771" max="771" width="16.625" style="62" customWidth="1"/>
    <col min="772" max="774" width="10" style="62" customWidth="1"/>
    <col min="775" max="776" width="10.625" style="62" customWidth="1"/>
    <col min="777" max="778" width="12.875" style="62" customWidth="1"/>
    <col min="779" max="779" width="15" style="62" customWidth="1"/>
    <col min="780" max="780" width="13.875" style="62" customWidth="1"/>
    <col min="781" max="781" width="12" style="62" customWidth="1"/>
    <col min="782" max="782" width="10.875" style="62" customWidth="1"/>
    <col min="783" max="783" width="18.375" style="62" customWidth="1"/>
    <col min="784" max="784" width="10.5" style="62" customWidth="1"/>
    <col min="785" max="1016" width="9" style="62"/>
    <col min="1017" max="1017" width="13.125" style="62" customWidth="1"/>
    <col min="1018" max="1018" width="13.5" style="62" customWidth="1"/>
    <col min="1019" max="1019" width="21.625" style="62" customWidth="1"/>
    <col min="1020" max="1020" width="23.5" style="62" customWidth="1"/>
    <col min="1021" max="1022" width="16.5" style="62" customWidth="1"/>
    <col min="1023" max="1023" width="18.375" style="62" customWidth="1"/>
    <col min="1024" max="1024" width="13.375" style="62" customWidth="1"/>
    <col min="1025" max="1025" width="11.375" style="62" customWidth="1"/>
    <col min="1026" max="1026" width="14.375" style="62" customWidth="1"/>
    <col min="1027" max="1027" width="16.625" style="62" customWidth="1"/>
    <col min="1028" max="1030" width="10" style="62" customWidth="1"/>
    <col min="1031" max="1032" width="10.625" style="62" customWidth="1"/>
    <col min="1033" max="1034" width="12.875" style="62" customWidth="1"/>
    <col min="1035" max="1035" width="15" style="62" customWidth="1"/>
    <col min="1036" max="1036" width="13.875" style="62" customWidth="1"/>
    <col min="1037" max="1037" width="12" style="62" customWidth="1"/>
    <col min="1038" max="1038" width="10.875" style="62" customWidth="1"/>
    <col min="1039" max="1039" width="18.375" style="62" customWidth="1"/>
    <col min="1040" max="1040" width="10.5" style="62" customWidth="1"/>
    <col min="1041" max="1272" width="9" style="62"/>
    <col min="1273" max="1273" width="13.125" style="62" customWidth="1"/>
    <col min="1274" max="1274" width="13.5" style="62" customWidth="1"/>
    <col min="1275" max="1275" width="21.625" style="62" customWidth="1"/>
    <col min="1276" max="1276" width="23.5" style="62" customWidth="1"/>
    <col min="1277" max="1278" width="16.5" style="62" customWidth="1"/>
    <col min="1279" max="1279" width="18.375" style="62" customWidth="1"/>
    <col min="1280" max="1280" width="13.375" style="62" customWidth="1"/>
    <col min="1281" max="1281" width="11.375" style="62" customWidth="1"/>
    <col min="1282" max="1282" width="14.375" style="62" customWidth="1"/>
    <col min="1283" max="1283" width="16.625" style="62" customWidth="1"/>
    <col min="1284" max="1286" width="10" style="62" customWidth="1"/>
    <col min="1287" max="1288" width="10.625" style="62" customWidth="1"/>
    <col min="1289" max="1290" width="12.875" style="62" customWidth="1"/>
    <col min="1291" max="1291" width="15" style="62" customWidth="1"/>
    <col min="1292" max="1292" width="13.875" style="62" customWidth="1"/>
    <col min="1293" max="1293" width="12" style="62" customWidth="1"/>
    <col min="1294" max="1294" width="10.875" style="62" customWidth="1"/>
    <col min="1295" max="1295" width="18.375" style="62" customWidth="1"/>
    <col min="1296" max="1296" width="10.5" style="62" customWidth="1"/>
    <col min="1297" max="1528" width="9" style="62"/>
    <col min="1529" max="1529" width="13.125" style="62" customWidth="1"/>
    <col min="1530" max="1530" width="13.5" style="62" customWidth="1"/>
    <col min="1531" max="1531" width="21.625" style="62" customWidth="1"/>
    <col min="1532" max="1532" width="23.5" style="62" customWidth="1"/>
    <col min="1533" max="1534" width="16.5" style="62" customWidth="1"/>
    <col min="1535" max="1535" width="18.375" style="62" customWidth="1"/>
    <col min="1536" max="1536" width="13.375" style="62" customWidth="1"/>
    <col min="1537" max="1537" width="11.375" style="62" customWidth="1"/>
    <col min="1538" max="1538" width="14.375" style="62" customWidth="1"/>
    <col min="1539" max="1539" width="16.625" style="62" customWidth="1"/>
    <col min="1540" max="1542" width="10" style="62" customWidth="1"/>
    <col min="1543" max="1544" width="10.625" style="62" customWidth="1"/>
    <col min="1545" max="1546" width="12.875" style="62" customWidth="1"/>
    <col min="1547" max="1547" width="15" style="62" customWidth="1"/>
    <col min="1548" max="1548" width="13.875" style="62" customWidth="1"/>
    <col min="1549" max="1549" width="12" style="62" customWidth="1"/>
    <col min="1550" max="1550" width="10.875" style="62" customWidth="1"/>
    <col min="1551" max="1551" width="18.375" style="62" customWidth="1"/>
    <col min="1552" max="1552" width="10.5" style="62" customWidth="1"/>
    <col min="1553" max="1784" width="9" style="62"/>
    <col min="1785" max="1785" width="13.125" style="62" customWidth="1"/>
    <col min="1786" max="1786" width="13.5" style="62" customWidth="1"/>
    <col min="1787" max="1787" width="21.625" style="62" customWidth="1"/>
    <col min="1788" max="1788" width="23.5" style="62" customWidth="1"/>
    <col min="1789" max="1790" width="16.5" style="62" customWidth="1"/>
    <col min="1791" max="1791" width="18.375" style="62" customWidth="1"/>
    <col min="1792" max="1792" width="13.375" style="62" customWidth="1"/>
    <col min="1793" max="1793" width="11.375" style="62" customWidth="1"/>
    <col min="1794" max="1794" width="14.375" style="62" customWidth="1"/>
    <col min="1795" max="1795" width="16.625" style="62" customWidth="1"/>
    <col min="1796" max="1798" width="10" style="62" customWidth="1"/>
    <col min="1799" max="1800" width="10.625" style="62" customWidth="1"/>
    <col min="1801" max="1802" width="12.875" style="62" customWidth="1"/>
    <col min="1803" max="1803" width="15" style="62" customWidth="1"/>
    <col min="1804" max="1804" width="13.875" style="62" customWidth="1"/>
    <col min="1805" max="1805" width="12" style="62" customWidth="1"/>
    <col min="1806" max="1806" width="10.875" style="62" customWidth="1"/>
    <col min="1807" max="1807" width="18.375" style="62" customWidth="1"/>
    <col min="1808" max="1808" width="10.5" style="62" customWidth="1"/>
    <col min="1809" max="2040" width="9" style="62"/>
    <col min="2041" max="2041" width="13.125" style="62" customWidth="1"/>
    <col min="2042" max="2042" width="13.5" style="62" customWidth="1"/>
    <col min="2043" max="2043" width="21.625" style="62" customWidth="1"/>
    <col min="2044" max="2044" width="23.5" style="62" customWidth="1"/>
    <col min="2045" max="2046" width="16.5" style="62" customWidth="1"/>
    <col min="2047" max="2047" width="18.375" style="62" customWidth="1"/>
    <col min="2048" max="2048" width="13.375" style="62" customWidth="1"/>
    <col min="2049" max="2049" width="11.375" style="62" customWidth="1"/>
    <col min="2050" max="2050" width="14.375" style="62" customWidth="1"/>
    <col min="2051" max="2051" width="16.625" style="62" customWidth="1"/>
    <col min="2052" max="2054" width="10" style="62" customWidth="1"/>
    <col min="2055" max="2056" width="10.625" style="62" customWidth="1"/>
    <col min="2057" max="2058" width="12.875" style="62" customWidth="1"/>
    <col min="2059" max="2059" width="15" style="62" customWidth="1"/>
    <col min="2060" max="2060" width="13.875" style="62" customWidth="1"/>
    <col min="2061" max="2061" width="12" style="62" customWidth="1"/>
    <col min="2062" max="2062" width="10.875" style="62" customWidth="1"/>
    <col min="2063" max="2063" width="18.375" style="62" customWidth="1"/>
    <col min="2064" max="2064" width="10.5" style="62" customWidth="1"/>
    <col min="2065" max="2296" width="9" style="62"/>
    <col min="2297" max="2297" width="13.125" style="62" customWidth="1"/>
    <col min="2298" max="2298" width="13.5" style="62" customWidth="1"/>
    <col min="2299" max="2299" width="21.625" style="62" customWidth="1"/>
    <col min="2300" max="2300" width="23.5" style="62" customWidth="1"/>
    <col min="2301" max="2302" width="16.5" style="62" customWidth="1"/>
    <col min="2303" max="2303" width="18.375" style="62" customWidth="1"/>
    <col min="2304" max="2304" width="13.375" style="62" customWidth="1"/>
    <col min="2305" max="2305" width="11.375" style="62" customWidth="1"/>
    <col min="2306" max="2306" width="14.375" style="62" customWidth="1"/>
    <col min="2307" max="2307" width="16.625" style="62" customWidth="1"/>
    <col min="2308" max="2310" width="10" style="62" customWidth="1"/>
    <col min="2311" max="2312" width="10.625" style="62" customWidth="1"/>
    <col min="2313" max="2314" width="12.875" style="62" customWidth="1"/>
    <col min="2315" max="2315" width="15" style="62" customWidth="1"/>
    <col min="2316" max="2316" width="13.875" style="62" customWidth="1"/>
    <col min="2317" max="2317" width="12" style="62" customWidth="1"/>
    <col min="2318" max="2318" width="10.875" style="62" customWidth="1"/>
    <col min="2319" max="2319" width="18.375" style="62" customWidth="1"/>
    <col min="2320" max="2320" width="10.5" style="62" customWidth="1"/>
    <col min="2321" max="2552" width="9" style="62"/>
    <col min="2553" max="2553" width="13.125" style="62" customWidth="1"/>
    <col min="2554" max="2554" width="13.5" style="62" customWidth="1"/>
    <col min="2555" max="2555" width="21.625" style="62" customWidth="1"/>
    <col min="2556" max="2556" width="23.5" style="62" customWidth="1"/>
    <col min="2557" max="2558" width="16.5" style="62" customWidth="1"/>
    <col min="2559" max="2559" width="18.375" style="62" customWidth="1"/>
    <col min="2560" max="2560" width="13.375" style="62" customWidth="1"/>
    <col min="2561" max="2561" width="11.375" style="62" customWidth="1"/>
    <col min="2562" max="2562" width="14.375" style="62" customWidth="1"/>
    <col min="2563" max="2563" width="16.625" style="62" customWidth="1"/>
    <col min="2564" max="2566" width="10" style="62" customWidth="1"/>
    <col min="2567" max="2568" width="10.625" style="62" customWidth="1"/>
    <col min="2569" max="2570" width="12.875" style="62" customWidth="1"/>
    <col min="2571" max="2571" width="15" style="62" customWidth="1"/>
    <col min="2572" max="2572" width="13.875" style="62" customWidth="1"/>
    <col min="2573" max="2573" width="12" style="62" customWidth="1"/>
    <col min="2574" max="2574" width="10.875" style="62" customWidth="1"/>
    <col min="2575" max="2575" width="18.375" style="62" customWidth="1"/>
    <col min="2576" max="2576" width="10.5" style="62" customWidth="1"/>
    <col min="2577" max="2808" width="9" style="62"/>
    <col min="2809" max="2809" width="13.125" style="62" customWidth="1"/>
    <col min="2810" max="2810" width="13.5" style="62" customWidth="1"/>
    <col min="2811" max="2811" width="21.625" style="62" customWidth="1"/>
    <col min="2812" max="2812" width="23.5" style="62" customWidth="1"/>
    <col min="2813" max="2814" width="16.5" style="62" customWidth="1"/>
    <col min="2815" max="2815" width="18.375" style="62" customWidth="1"/>
    <col min="2816" max="2816" width="13.375" style="62" customWidth="1"/>
    <col min="2817" max="2817" width="11.375" style="62" customWidth="1"/>
    <col min="2818" max="2818" width="14.375" style="62" customWidth="1"/>
    <col min="2819" max="2819" width="16.625" style="62" customWidth="1"/>
    <col min="2820" max="2822" width="10" style="62" customWidth="1"/>
    <col min="2823" max="2824" width="10.625" style="62" customWidth="1"/>
    <col min="2825" max="2826" width="12.875" style="62" customWidth="1"/>
    <col min="2827" max="2827" width="15" style="62" customWidth="1"/>
    <col min="2828" max="2828" width="13.875" style="62" customWidth="1"/>
    <col min="2829" max="2829" width="12" style="62" customWidth="1"/>
    <col min="2830" max="2830" width="10.875" style="62" customWidth="1"/>
    <col min="2831" max="2831" width="18.375" style="62" customWidth="1"/>
    <col min="2832" max="2832" width="10.5" style="62" customWidth="1"/>
    <col min="2833" max="3064" width="9" style="62"/>
    <col min="3065" max="3065" width="13.125" style="62" customWidth="1"/>
    <col min="3066" max="3066" width="13.5" style="62" customWidth="1"/>
    <col min="3067" max="3067" width="21.625" style="62" customWidth="1"/>
    <col min="3068" max="3068" width="23.5" style="62" customWidth="1"/>
    <col min="3069" max="3070" width="16.5" style="62" customWidth="1"/>
    <col min="3071" max="3071" width="18.375" style="62" customWidth="1"/>
    <col min="3072" max="3072" width="13.375" style="62" customWidth="1"/>
    <col min="3073" max="3073" width="11.375" style="62" customWidth="1"/>
    <col min="3074" max="3074" width="14.375" style="62" customWidth="1"/>
    <col min="3075" max="3075" width="16.625" style="62" customWidth="1"/>
    <col min="3076" max="3078" width="10" style="62" customWidth="1"/>
    <col min="3079" max="3080" width="10.625" style="62" customWidth="1"/>
    <col min="3081" max="3082" width="12.875" style="62" customWidth="1"/>
    <col min="3083" max="3083" width="15" style="62" customWidth="1"/>
    <col min="3084" max="3084" width="13.875" style="62" customWidth="1"/>
    <col min="3085" max="3085" width="12" style="62" customWidth="1"/>
    <col min="3086" max="3086" width="10.875" style="62" customWidth="1"/>
    <col min="3087" max="3087" width="18.375" style="62" customWidth="1"/>
    <col min="3088" max="3088" width="10.5" style="62" customWidth="1"/>
    <col min="3089" max="3320" width="9" style="62"/>
    <col min="3321" max="3321" width="13.125" style="62" customWidth="1"/>
    <col min="3322" max="3322" width="13.5" style="62" customWidth="1"/>
    <col min="3323" max="3323" width="21.625" style="62" customWidth="1"/>
    <col min="3324" max="3324" width="23.5" style="62" customWidth="1"/>
    <col min="3325" max="3326" width="16.5" style="62" customWidth="1"/>
    <col min="3327" max="3327" width="18.375" style="62" customWidth="1"/>
    <col min="3328" max="3328" width="13.375" style="62" customWidth="1"/>
    <col min="3329" max="3329" width="11.375" style="62" customWidth="1"/>
    <col min="3330" max="3330" width="14.375" style="62" customWidth="1"/>
    <col min="3331" max="3331" width="16.625" style="62" customWidth="1"/>
    <col min="3332" max="3334" width="10" style="62" customWidth="1"/>
    <col min="3335" max="3336" width="10.625" style="62" customWidth="1"/>
    <col min="3337" max="3338" width="12.875" style="62" customWidth="1"/>
    <col min="3339" max="3339" width="15" style="62" customWidth="1"/>
    <col min="3340" max="3340" width="13.875" style="62" customWidth="1"/>
    <col min="3341" max="3341" width="12" style="62" customWidth="1"/>
    <col min="3342" max="3342" width="10.875" style="62" customWidth="1"/>
    <col min="3343" max="3343" width="18.375" style="62" customWidth="1"/>
    <col min="3344" max="3344" width="10.5" style="62" customWidth="1"/>
    <col min="3345" max="3576" width="9" style="62"/>
    <col min="3577" max="3577" width="13.125" style="62" customWidth="1"/>
    <col min="3578" max="3578" width="13.5" style="62" customWidth="1"/>
    <col min="3579" max="3579" width="21.625" style="62" customWidth="1"/>
    <col min="3580" max="3580" width="23.5" style="62" customWidth="1"/>
    <col min="3581" max="3582" width="16.5" style="62" customWidth="1"/>
    <col min="3583" max="3583" width="18.375" style="62" customWidth="1"/>
    <col min="3584" max="3584" width="13.375" style="62" customWidth="1"/>
    <col min="3585" max="3585" width="11.375" style="62" customWidth="1"/>
    <col min="3586" max="3586" width="14.375" style="62" customWidth="1"/>
    <col min="3587" max="3587" width="16.625" style="62" customWidth="1"/>
    <col min="3588" max="3590" width="10" style="62" customWidth="1"/>
    <col min="3591" max="3592" width="10.625" style="62" customWidth="1"/>
    <col min="3593" max="3594" width="12.875" style="62" customWidth="1"/>
    <col min="3595" max="3595" width="15" style="62" customWidth="1"/>
    <col min="3596" max="3596" width="13.875" style="62" customWidth="1"/>
    <col min="3597" max="3597" width="12" style="62" customWidth="1"/>
    <col min="3598" max="3598" width="10.875" style="62" customWidth="1"/>
    <col min="3599" max="3599" width="18.375" style="62" customWidth="1"/>
    <col min="3600" max="3600" width="10.5" style="62" customWidth="1"/>
    <col min="3601" max="3832" width="9" style="62"/>
    <col min="3833" max="3833" width="13.125" style="62" customWidth="1"/>
    <col min="3834" max="3834" width="13.5" style="62" customWidth="1"/>
    <col min="3835" max="3835" width="21.625" style="62" customWidth="1"/>
    <col min="3836" max="3836" width="23.5" style="62" customWidth="1"/>
    <col min="3837" max="3838" width="16.5" style="62" customWidth="1"/>
    <col min="3839" max="3839" width="18.375" style="62" customWidth="1"/>
    <col min="3840" max="3840" width="13.375" style="62" customWidth="1"/>
    <col min="3841" max="3841" width="11.375" style="62" customWidth="1"/>
    <col min="3842" max="3842" width="14.375" style="62" customWidth="1"/>
    <col min="3843" max="3843" width="16.625" style="62" customWidth="1"/>
    <col min="3844" max="3846" width="10" style="62" customWidth="1"/>
    <col min="3847" max="3848" width="10.625" style="62" customWidth="1"/>
    <col min="3849" max="3850" width="12.875" style="62" customWidth="1"/>
    <col min="3851" max="3851" width="15" style="62" customWidth="1"/>
    <col min="3852" max="3852" width="13.875" style="62" customWidth="1"/>
    <col min="3853" max="3853" width="12" style="62" customWidth="1"/>
    <col min="3854" max="3854" width="10.875" style="62" customWidth="1"/>
    <col min="3855" max="3855" width="18.375" style="62" customWidth="1"/>
    <col min="3856" max="3856" width="10.5" style="62" customWidth="1"/>
    <col min="3857" max="4088" width="9" style="62"/>
    <col min="4089" max="4089" width="13.125" style="62" customWidth="1"/>
    <col min="4090" max="4090" width="13.5" style="62" customWidth="1"/>
    <col min="4091" max="4091" width="21.625" style="62" customWidth="1"/>
    <col min="4092" max="4092" width="23.5" style="62" customWidth="1"/>
    <col min="4093" max="4094" width="16.5" style="62" customWidth="1"/>
    <col min="4095" max="4095" width="18.375" style="62" customWidth="1"/>
    <col min="4096" max="4096" width="13.375" style="62" customWidth="1"/>
    <col min="4097" max="4097" width="11.375" style="62" customWidth="1"/>
    <col min="4098" max="4098" width="14.375" style="62" customWidth="1"/>
    <col min="4099" max="4099" width="16.625" style="62" customWidth="1"/>
    <col min="4100" max="4102" width="10" style="62" customWidth="1"/>
    <col min="4103" max="4104" width="10.625" style="62" customWidth="1"/>
    <col min="4105" max="4106" width="12.875" style="62" customWidth="1"/>
    <col min="4107" max="4107" width="15" style="62" customWidth="1"/>
    <col min="4108" max="4108" width="13.875" style="62" customWidth="1"/>
    <col min="4109" max="4109" width="12" style="62" customWidth="1"/>
    <col min="4110" max="4110" width="10.875" style="62" customWidth="1"/>
    <col min="4111" max="4111" width="18.375" style="62" customWidth="1"/>
    <col min="4112" max="4112" width="10.5" style="62" customWidth="1"/>
    <col min="4113" max="4344" width="9" style="62"/>
    <col min="4345" max="4345" width="13.125" style="62" customWidth="1"/>
    <col min="4346" max="4346" width="13.5" style="62" customWidth="1"/>
    <col min="4347" max="4347" width="21.625" style="62" customWidth="1"/>
    <col min="4348" max="4348" width="23.5" style="62" customWidth="1"/>
    <col min="4349" max="4350" width="16.5" style="62" customWidth="1"/>
    <col min="4351" max="4351" width="18.375" style="62" customWidth="1"/>
    <col min="4352" max="4352" width="13.375" style="62" customWidth="1"/>
    <col min="4353" max="4353" width="11.375" style="62" customWidth="1"/>
    <col min="4354" max="4354" width="14.375" style="62" customWidth="1"/>
    <col min="4355" max="4355" width="16.625" style="62" customWidth="1"/>
    <col min="4356" max="4358" width="10" style="62" customWidth="1"/>
    <col min="4359" max="4360" width="10.625" style="62" customWidth="1"/>
    <col min="4361" max="4362" width="12.875" style="62" customWidth="1"/>
    <col min="4363" max="4363" width="15" style="62" customWidth="1"/>
    <col min="4364" max="4364" width="13.875" style="62" customWidth="1"/>
    <col min="4365" max="4365" width="12" style="62" customWidth="1"/>
    <col min="4366" max="4366" width="10.875" style="62" customWidth="1"/>
    <col min="4367" max="4367" width="18.375" style="62" customWidth="1"/>
    <col min="4368" max="4368" width="10.5" style="62" customWidth="1"/>
    <col min="4369" max="4600" width="9" style="62"/>
    <col min="4601" max="4601" width="13.125" style="62" customWidth="1"/>
    <col min="4602" max="4602" width="13.5" style="62" customWidth="1"/>
    <col min="4603" max="4603" width="21.625" style="62" customWidth="1"/>
    <col min="4604" max="4604" width="23.5" style="62" customWidth="1"/>
    <col min="4605" max="4606" width="16.5" style="62" customWidth="1"/>
    <col min="4607" max="4607" width="18.375" style="62" customWidth="1"/>
    <col min="4608" max="4608" width="13.375" style="62" customWidth="1"/>
    <col min="4609" max="4609" width="11.375" style="62" customWidth="1"/>
    <col min="4610" max="4610" width="14.375" style="62" customWidth="1"/>
    <col min="4611" max="4611" width="16.625" style="62" customWidth="1"/>
    <col min="4612" max="4614" width="10" style="62" customWidth="1"/>
    <col min="4615" max="4616" width="10.625" style="62" customWidth="1"/>
    <col min="4617" max="4618" width="12.875" style="62" customWidth="1"/>
    <col min="4619" max="4619" width="15" style="62" customWidth="1"/>
    <col min="4620" max="4620" width="13.875" style="62" customWidth="1"/>
    <col min="4621" max="4621" width="12" style="62" customWidth="1"/>
    <col min="4622" max="4622" width="10.875" style="62" customWidth="1"/>
    <col min="4623" max="4623" width="18.375" style="62" customWidth="1"/>
    <col min="4624" max="4624" width="10.5" style="62" customWidth="1"/>
    <col min="4625" max="4856" width="9" style="62"/>
    <col min="4857" max="4857" width="13.125" style="62" customWidth="1"/>
    <col min="4858" max="4858" width="13.5" style="62" customWidth="1"/>
    <col min="4859" max="4859" width="21.625" style="62" customWidth="1"/>
    <col min="4860" max="4860" width="23.5" style="62" customWidth="1"/>
    <col min="4861" max="4862" width="16.5" style="62" customWidth="1"/>
    <col min="4863" max="4863" width="18.375" style="62" customWidth="1"/>
    <col min="4864" max="4864" width="13.375" style="62" customWidth="1"/>
    <col min="4865" max="4865" width="11.375" style="62" customWidth="1"/>
    <col min="4866" max="4866" width="14.375" style="62" customWidth="1"/>
    <col min="4867" max="4867" width="16.625" style="62" customWidth="1"/>
    <col min="4868" max="4870" width="10" style="62" customWidth="1"/>
    <col min="4871" max="4872" width="10.625" style="62" customWidth="1"/>
    <col min="4873" max="4874" width="12.875" style="62" customWidth="1"/>
    <col min="4875" max="4875" width="15" style="62" customWidth="1"/>
    <col min="4876" max="4876" width="13.875" style="62" customWidth="1"/>
    <col min="4877" max="4877" width="12" style="62" customWidth="1"/>
    <col min="4878" max="4878" width="10.875" style="62" customWidth="1"/>
    <col min="4879" max="4879" width="18.375" style="62" customWidth="1"/>
    <col min="4880" max="4880" width="10.5" style="62" customWidth="1"/>
    <col min="4881" max="5112" width="9" style="62"/>
    <col min="5113" max="5113" width="13.125" style="62" customWidth="1"/>
    <col min="5114" max="5114" width="13.5" style="62" customWidth="1"/>
    <col min="5115" max="5115" width="21.625" style="62" customWidth="1"/>
    <col min="5116" max="5116" width="23.5" style="62" customWidth="1"/>
    <col min="5117" max="5118" width="16.5" style="62" customWidth="1"/>
    <col min="5119" max="5119" width="18.375" style="62" customWidth="1"/>
    <col min="5120" max="5120" width="13.375" style="62" customWidth="1"/>
    <col min="5121" max="5121" width="11.375" style="62" customWidth="1"/>
    <col min="5122" max="5122" width="14.375" style="62" customWidth="1"/>
    <col min="5123" max="5123" width="16.625" style="62" customWidth="1"/>
    <col min="5124" max="5126" width="10" style="62" customWidth="1"/>
    <col min="5127" max="5128" width="10.625" style="62" customWidth="1"/>
    <col min="5129" max="5130" width="12.875" style="62" customWidth="1"/>
    <col min="5131" max="5131" width="15" style="62" customWidth="1"/>
    <col min="5132" max="5132" width="13.875" style="62" customWidth="1"/>
    <col min="5133" max="5133" width="12" style="62" customWidth="1"/>
    <col min="5134" max="5134" width="10.875" style="62" customWidth="1"/>
    <col min="5135" max="5135" width="18.375" style="62" customWidth="1"/>
    <col min="5136" max="5136" width="10.5" style="62" customWidth="1"/>
    <col min="5137" max="5368" width="9" style="62"/>
    <col min="5369" max="5369" width="13.125" style="62" customWidth="1"/>
    <col min="5370" max="5370" width="13.5" style="62" customWidth="1"/>
    <col min="5371" max="5371" width="21.625" style="62" customWidth="1"/>
    <col min="5372" max="5372" width="23.5" style="62" customWidth="1"/>
    <col min="5373" max="5374" width="16.5" style="62" customWidth="1"/>
    <col min="5375" max="5375" width="18.375" style="62" customWidth="1"/>
    <col min="5376" max="5376" width="13.375" style="62" customWidth="1"/>
    <col min="5377" max="5377" width="11.375" style="62" customWidth="1"/>
    <col min="5378" max="5378" width="14.375" style="62" customWidth="1"/>
    <col min="5379" max="5379" width="16.625" style="62" customWidth="1"/>
    <col min="5380" max="5382" width="10" style="62" customWidth="1"/>
    <col min="5383" max="5384" width="10.625" style="62" customWidth="1"/>
    <col min="5385" max="5386" width="12.875" style="62" customWidth="1"/>
    <col min="5387" max="5387" width="15" style="62" customWidth="1"/>
    <col min="5388" max="5388" width="13.875" style="62" customWidth="1"/>
    <col min="5389" max="5389" width="12" style="62" customWidth="1"/>
    <col min="5390" max="5390" width="10.875" style="62" customWidth="1"/>
    <col min="5391" max="5391" width="18.375" style="62" customWidth="1"/>
    <col min="5392" max="5392" width="10.5" style="62" customWidth="1"/>
    <col min="5393" max="5624" width="9" style="62"/>
    <col min="5625" max="5625" width="13.125" style="62" customWidth="1"/>
    <col min="5626" max="5626" width="13.5" style="62" customWidth="1"/>
    <col min="5627" max="5627" width="21.625" style="62" customWidth="1"/>
    <col min="5628" max="5628" width="23.5" style="62" customWidth="1"/>
    <col min="5629" max="5630" width="16.5" style="62" customWidth="1"/>
    <col min="5631" max="5631" width="18.375" style="62" customWidth="1"/>
    <col min="5632" max="5632" width="13.375" style="62" customWidth="1"/>
    <col min="5633" max="5633" width="11.375" style="62" customWidth="1"/>
    <col min="5634" max="5634" width="14.375" style="62" customWidth="1"/>
    <col min="5635" max="5635" width="16.625" style="62" customWidth="1"/>
    <col min="5636" max="5638" width="10" style="62" customWidth="1"/>
    <col min="5639" max="5640" width="10.625" style="62" customWidth="1"/>
    <col min="5641" max="5642" width="12.875" style="62" customWidth="1"/>
    <col min="5643" max="5643" width="15" style="62" customWidth="1"/>
    <col min="5644" max="5644" width="13.875" style="62" customWidth="1"/>
    <col min="5645" max="5645" width="12" style="62" customWidth="1"/>
    <col min="5646" max="5646" width="10.875" style="62" customWidth="1"/>
    <col min="5647" max="5647" width="18.375" style="62" customWidth="1"/>
    <col min="5648" max="5648" width="10.5" style="62" customWidth="1"/>
    <col min="5649" max="5880" width="9" style="62"/>
    <col min="5881" max="5881" width="13.125" style="62" customWidth="1"/>
    <col min="5882" max="5882" width="13.5" style="62" customWidth="1"/>
    <col min="5883" max="5883" width="21.625" style="62" customWidth="1"/>
    <col min="5884" max="5884" width="23.5" style="62" customWidth="1"/>
    <col min="5885" max="5886" width="16.5" style="62" customWidth="1"/>
    <col min="5887" max="5887" width="18.375" style="62" customWidth="1"/>
    <col min="5888" max="5888" width="13.375" style="62" customWidth="1"/>
    <col min="5889" max="5889" width="11.375" style="62" customWidth="1"/>
    <col min="5890" max="5890" width="14.375" style="62" customWidth="1"/>
    <col min="5891" max="5891" width="16.625" style="62" customWidth="1"/>
    <col min="5892" max="5894" width="10" style="62" customWidth="1"/>
    <col min="5895" max="5896" width="10.625" style="62" customWidth="1"/>
    <col min="5897" max="5898" width="12.875" style="62" customWidth="1"/>
    <col min="5899" max="5899" width="15" style="62" customWidth="1"/>
    <col min="5900" max="5900" width="13.875" style="62" customWidth="1"/>
    <col min="5901" max="5901" width="12" style="62" customWidth="1"/>
    <col min="5902" max="5902" width="10.875" style="62" customWidth="1"/>
    <col min="5903" max="5903" width="18.375" style="62" customWidth="1"/>
    <col min="5904" max="5904" width="10.5" style="62" customWidth="1"/>
    <col min="5905" max="6136" width="9" style="62"/>
    <col min="6137" max="6137" width="13.125" style="62" customWidth="1"/>
    <col min="6138" max="6138" width="13.5" style="62" customWidth="1"/>
    <col min="6139" max="6139" width="21.625" style="62" customWidth="1"/>
    <col min="6140" max="6140" width="23.5" style="62" customWidth="1"/>
    <col min="6141" max="6142" width="16.5" style="62" customWidth="1"/>
    <col min="6143" max="6143" width="18.375" style="62" customWidth="1"/>
    <col min="6144" max="6144" width="13.375" style="62" customWidth="1"/>
    <col min="6145" max="6145" width="11.375" style="62" customWidth="1"/>
    <col min="6146" max="6146" width="14.375" style="62" customWidth="1"/>
    <col min="6147" max="6147" width="16.625" style="62" customWidth="1"/>
    <col min="6148" max="6150" width="10" style="62" customWidth="1"/>
    <col min="6151" max="6152" width="10.625" style="62" customWidth="1"/>
    <col min="6153" max="6154" width="12.875" style="62" customWidth="1"/>
    <col min="6155" max="6155" width="15" style="62" customWidth="1"/>
    <col min="6156" max="6156" width="13.875" style="62" customWidth="1"/>
    <col min="6157" max="6157" width="12" style="62" customWidth="1"/>
    <col min="6158" max="6158" width="10.875" style="62" customWidth="1"/>
    <col min="6159" max="6159" width="18.375" style="62" customWidth="1"/>
    <col min="6160" max="6160" width="10.5" style="62" customWidth="1"/>
    <col min="6161" max="6392" width="9" style="62"/>
    <col min="6393" max="6393" width="13.125" style="62" customWidth="1"/>
    <col min="6394" max="6394" width="13.5" style="62" customWidth="1"/>
    <col min="6395" max="6395" width="21.625" style="62" customWidth="1"/>
    <col min="6396" max="6396" width="23.5" style="62" customWidth="1"/>
    <col min="6397" max="6398" width="16.5" style="62" customWidth="1"/>
    <col min="6399" max="6399" width="18.375" style="62" customWidth="1"/>
    <col min="6400" max="6400" width="13.375" style="62" customWidth="1"/>
    <col min="6401" max="6401" width="11.375" style="62" customWidth="1"/>
    <col min="6402" max="6402" width="14.375" style="62" customWidth="1"/>
    <col min="6403" max="6403" width="16.625" style="62" customWidth="1"/>
    <col min="6404" max="6406" width="10" style="62" customWidth="1"/>
    <col min="6407" max="6408" width="10.625" style="62" customWidth="1"/>
    <col min="6409" max="6410" width="12.875" style="62" customWidth="1"/>
    <col min="6411" max="6411" width="15" style="62" customWidth="1"/>
    <col min="6412" max="6412" width="13.875" style="62" customWidth="1"/>
    <col min="6413" max="6413" width="12" style="62" customWidth="1"/>
    <col min="6414" max="6414" width="10.875" style="62" customWidth="1"/>
    <col min="6415" max="6415" width="18.375" style="62" customWidth="1"/>
    <col min="6416" max="6416" width="10.5" style="62" customWidth="1"/>
    <col min="6417" max="6648" width="9" style="62"/>
    <col min="6649" max="6649" width="13.125" style="62" customWidth="1"/>
    <col min="6650" max="6650" width="13.5" style="62" customWidth="1"/>
    <col min="6651" max="6651" width="21.625" style="62" customWidth="1"/>
    <col min="6652" max="6652" width="23.5" style="62" customWidth="1"/>
    <col min="6653" max="6654" width="16.5" style="62" customWidth="1"/>
    <col min="6655" max="6655" width="18.375" style="62" customWidth="1"/>
    <col min="6656" max="6656" width="13.375" style="62" customWidth="1"/>
    <col min="6657" max="6657" width="11.375" style="62" customWidth="1"/>
    <col min="6658" max="6658" width="14.375" style="62" customWidth="1"/>
    <col min="6659" max="6659" width="16.625" style="62" customWidth="1"/>
    <col min="6660" max="6662" width="10" style="62" customWidth="1"/>
    <col min="6663" max="6664" width="10.625" style="62" customWidth="1"/>
    <col min="6665" max="6666" width="12.875" style="62" customWidth="1"/>
    <col min="6667" max="6667" width="15" style="62" customWidth="1"/>
    <col min="6668" max="6668" width="13.875" style="62" customWidth="1"/>
    <col min="6669" max="6669" width="12" style="62" customWidth="1"/>
    <col min="6670" max="6670" width="10.875" style="62" customWidth="1"/>
    <col min="6671" max="6671" width="18.375" style="62" customWidth="1"/>
    <col min="6672" max="6672" width="10.5" style="62" customWidth="1"/>
    <col min="6673" max="6904" width="9" style="62"/>
    <col min="6905" max="6905" width="13.125" style="62" customWidth="1"/>
    <col min="6906" max="6906" width="13.5" style="62" customWidth="1"/>
    <col min="6907" max="6907" width="21.625" style="62" customWidth="1"/>
    <col min="6908" max="6908" width="23.5" style="62" customWidth="1"/>
    <col min="6909" max="6910" width="16.5" style="62" customWidth="1"/>
    <col min="6911" max="6911" width="18.375" style="62" customWidth="1"/>
    <col min="6912" max="6912" width="13.375" style="62" customWidth="1"/>
    <col min="6913" max="6913" width="11.375" style="62" customWidth="1"/>
    <col min="6914" max="6914" width="14.375" style="62" customWidth="1"/>
    <col min="6915" max="6915" width="16.625" style="62" customWidth="1"/>
    <col min="6916" max="6918" width="10" style="62" customWidth="1"/>
    <col min="6919" max="6920" width="10.625" style="62" customWidth="1"/>
    <col min="6921" max="6922" width="12.875" style="62" customWidth="1"/>
    <col min="6923" max="6923" width="15" style="62" customWidth="1"/>
    <col min="6924" max="6924" width="13.875" style="62" customWidth="1"/>
    <col min="6925" max="6925" width="12" style="62" customWidth="1"/>
    <col min="6926" max="6926" width="10.875" style="62" customWidth="1"/>
    <col min="6927" max="6927" width="18.375" style="62" customWidth="1"/>
    <col min="6928" max="6928" width="10.5" style="62" customWidth="1"/>
    <col min="6929" max="7160" width="9" style="62"/>
    <col min="7161" max="7161" width="13.125" style="62" customWidth="1"/>
    <col min="7162" max="7162" width="13.5" style="62" customWidth="1"/>
    <col min="7163" max="7163" width="21.625" style="62" customWidth="1"/>
    <col min="7164" max="7164" width="23.5" style="62" customWidth="1"/>
    <col min="7165" max="7166" width="16.5" style="62" customWidth="1"/>
    <col min="7167" max="7167" width="18.375" style="62" customWidth="1"/>
    <col min="7168" max="7168" width="13.375" style="62" customWidth="1"/>
    <col min="7169" max="7169" width="11.375" style="62" customWidth="1"/>
    <col min="7170" max="7170" width="14.375" style="62" customWidth="1"/>
    <col min="7171" max="7171" width="16.625" style="62" customWidth="1"/>
    <col min="7172" max="7174" width="10" style="62" customWidth="1"/>
    <col min="7175" max="7176" width="10.625" style="62" customWidth="1"/>
    <col min="7177" max="7178" width="12.875" style="62" customWidth="1"/>
    <col min="7179" max="7179" width="15" style="62" customWidth="1"/>
    <col min="7180" max="7180" width="13.875" style="62" customWidth="1"/>
    <col min="7181" max="7181" width="12" style="62" customWidth="1"/>
    <col min="7182" max="7182" width="10.875" style="62" customWidth="1"/>
    <col min="7183" max="7183" width="18.375" style="62" customWidth="1"/>
    <col min="7184" max="7184" width="10.5" style="62" customWidth="1"/>
    <col min="7185" max="7416" width="9" style="62"/>
    <col min="7417" max="7417" width="13.125" style="62" customWidth="1"/>
    <col min="7418" max="7418" width="13.5" style="62" customWidth="1"/>
    <col min="7419" max="7419" width="21.625" style="62" customWidth="1"/>
    <col min="7420" max="7420" width="23.5" style="62" customWidth="1"/>
    <col min="7421" max="7422" width="16.5" style="62" customWidth="1"/>
    <col min="7423" max="7423" width="18.375" style="62" customWidth="1"/>
    <col min="7424" max="7424" width="13.375" style="62" customWidth="1"/>
    <col min="7425" max="7425" width="11.375" style="62" customWidth="1"/>
    <col min="7426" max="7426" width="14.375" style="62" customWidth="1"/>
    <col min="7427" max="7427" width="16.625" style="62" customWidth="1"/>
    <col min="7428" max="7430" width="10" style="62" customWidth="1"/>
    <col min="7431" max="7432" width="10.625" style="62" customWidth="1"/>
    <col min="7433" max="7434" width="12.875" style="62" customWidth="1"/>
    <col min="7435" max="7435" width="15" style="62" customWidth="1"/>
    <col min="7436" max="7436" width="13.875" style="62" customWidth="1"/>
    <col min="7437" max="7437" width="12" style="62" customWidth="1"/>
    <col min="7438" max="7438" width="10.875" style="62" customWidth="1"/>
    <col min="7439" max="7439" width="18.375" style="62" customWidth="1"/>
    <col min="7440" max="7440" width="10.5" style="62" customWidth="1"/>
    <col min="7441" max="7672" width="9" style="62"/>
    <col min="7673" max="7673" width="13.125" style="62" customWidth="1"/>
    <col min="7674" max="7674" width="13.5" style="62" customWidth="1"/>
    <col min="7675" max="7675" width="21.625" style="62" customWidth="1"/>
    <col min="7676" max="7676" width="23.5" style="62" customWidth="1"/>
    <col min="7677" max="7678" width="16.5" style="62" customWidth="1"/>
    <col min="7679" max="7679" width="18.375" style="62" customWidth="1"/>
    <col min="7680" max="7680" width="13.375" style="62" customWidth="1"/>
    <col min="7681" max="7681" width="11.375" style="62" customWidth="1"/>
    <col min="7682" max="7682" width="14.375" style="62" customWidth="1"/>
    <col min="7683" max="7683" width="16.625" style="62" customWidth="1"/>
    <col min="7684" max="7686" width="10" style="62" customWidth="1"/>
    <col min="7687" max="7688" width="10.625" style="62" customWidth="1"/>
    <col min="7689" max="7690" width="12.875" style="62" customWidth="1"/>
    <col min="7691" max="7691" width="15" style="62" customWidth="1"/>
    <col min="7692" max="7692" width="13.875" style="62" customWidth="1"/>
    <col min="7693" max="7693" width="12" style="62" customWidth="1"/>
    <col min="7694" max="7694" width="10.875" style="62" customWidth="1"/>
    <col min="7695" max="7695" width="18.375" style="62" customWidth="1"/>
    <col min="7696" max="7696" width="10.5" style="62" customWidth="1"/>
    <col min="7697" max="7928" width="9" style="62"/>
    <col min="7929" max="7929" width="13.125" style="62" customWidth="1"/>
    <col min="7930" max="7930" width="13.5" style="62" customWidth="1"/>
    <col min="7931" max="7931" width="21.625" style="62" customWidth="1"/>
    <col min="7932" max="7932" width="23.5" style="62" customWidth="1"/>
    <col min="7933" max="7934" width="16.5" style="62" customWidth="1"/>
    <col min="7935" max="7935" width="18.375" style="62" customWidth="1"/>
    <col min="7936" max="7936" width="13.375" style="62" customWidth="1"/>
    <col min="7937" max="7937" width="11.375" style="62" customWidth="1"/>
    <col min="7938" max="7938" width="14.375" style="62" customWidth="1"/>
    <col min="7939" max="7939" width="16.625" style="62" customWidth="1"/>
    <col min="7940" max="7942" width="10" style="62" customWidth="1"/>
    <col min="7943" max="7944" width="10.625" style="62" customWidth="1"/>
    <col min="7945" max="7946" width="12.875" style="62" customWidth="1"/>
    <col min="7947" max="7947" width="15" style="62" customWidth="1"/>
    <col min="7948" max="7948" width="13.875" style="62" customWidth="1"/>
    <col min="7949" max="7949" width="12" style="62" customWidth="1"/>
    <col min="7950" max="7950" width="10.875" style="62" customWidth="1"/>
    <col min="7951" max="7951" width="18.375" style="62" customWidth="1"/>
    <col min="7952" max="7952" width="10.5" style="62" customWidth="1"/>
    <col min="7953" max="8184" width="9" style="62"/>
    <col min="8185" max="8185" width="13.125" style="62" customWidth="1"/>
    <col min="8186" max="8186" width="13.5" style="62" customWidth="1"/>
    <col min="8187" max="8187" width="21.625" style="62" customWidth="1"/>
    <col min="8188" max="8188" width="23.5" style="62" customWidth="1"/>
    <col min="8189" max="8190" width="16.5" style="62" customWidth="1"/>
    <col min="8191" max="8191" width="18.375" style="62" customWidth="1"/>
    <col min="8192" max="8192" width="13.375" style="62" customWidth="1"/>
    <col min="8193" max="8193" width="11.375" style="62" customWidth="1"/>
    <col min="8194" max="8194" width="14.375" style="62" customWidth="1"/>
    <col min="8195" max="8195" width="16.625" style="62" customWidth="1"/>
    <col min="8196" max="8198" width="10" style="62" customWidth="1"/>
    <col min="8199" max="8200" width="10.625" style="62" customWidth="1"/>
    <col min="8201" max="8202" width="12.875" style="62" customWidth="1"/>
    <col min="8203" max="8203" width="15" style="62" customWidth="1"/>
    <col min="8204" max="8204" width="13.875" style="62" customWidth="1"/>
    <col min="8205" max="8205" width="12" style="62" customWidth="1"/>
    <col min="8206" max="8206" width="10.875" style="62" customWidth="1"/>
    <col min="8207" max="8207" width="18.375" style="62" customWidth="1"/>
    <col min="8208" max="8208" width="10.5" style="62" customWidth="1"/>
    <col min="8209" max="8440" width="9" style="62"/>
    <col min="8441" max="8441" width="13.125" style="62" customWidth="1"/>
    <col min="8442" max="8442" width="13.5" style="62" customWidth="1"/>
    <col min="8443" max="8443" width="21.625" style="62" customWidth="1"/>
    <col min="8444" max="8444" width="23.5" style="62" customWidth="1"/>
    <col min="8445" max="8446" width="16.5" style="62" customWidth="1"/>
    <col min="8447" max="8447" width="18.375" style="62" customWidth="1"/>
    <col min="8448" max="8448" width="13.375" style="62" customWidth="1"/>
    <col min="8449" max="8449" width="11.375" style="62" customWidth="1"/>
    <col min="8450" max="8450" width="14.375" style="62" customWidth="1"/>
    <col min="8451" max="8451" width="16.625" style="62" customWidth="1"/>
    <col min="8452" max="8454" width="10" style="62" customWidth="1"/>
    <col min="8455" max="8456" width="10.625" style="62" customWidth="1"/>
    <col min="8457" max="8458" width="12.875" style="62" customWidth="1"/>
    <col min="8459" max="8459" width="15" style="62" customWidth="1"/>
    <col min="8460" max="8460" width="13.875" style="62" customWidth="1"/>
    <col min="8461" max="8461" width="12" style="62" customWidth="1"/>
    <col min="8462" max="8462" width="10.875" style="62" customWidth="1"/>
    <col min="8463" max="8463" width="18.375" style="62" customWidth="1"/>
    <col min="8464" max="8464" width="10.5" style="62" customWidth="1"/>
    <col min="8465" max="8696" width="9" style="62"/>
    <col min="8697" max="8697" width="13.125" style="62" customWidth="1"/>
    <col min="8698" max="8698" width="13.5" style="62" customWidth="1"/>
    <col min="8699" max="8699" width="21.625" style="62" customWidth="1"/>
    <col min="8700" max="8700" width="23.5" style="62" customWidth="1"/>
    <col min="8701" max="8702" width="16.5" style="62" customWidth="1"/>
    <col min="8703" max="8703" width="18.375" style="62" customWidth="1"/>
    <col min="8704" max="8704" width="13.375" style="62" customWidth="1"/>
    <col min="8705" max="8705" width="11.375" style="62" customWidth="1"/>
    <col min="8706" max="8706" width="14.375" style="62" customWidth="1"/>
    <col min="8707" max="8707" width="16.625" style="62" customWidth="1"/>
    <col min="8708" max="8710" width="10" style="62" customWidth="1"/>
    <col min="8711" max="8712" width="10.625" style="62" customWidth="1"/>
    <col min="8713" max="8714" width="12.875" style="62" customWidth="1"/>
    <col min="8715" max="8715" width="15" style="62" customWidth="1"/>
    <col min="8716" max="8716" width="13.875" style="62" customWidth="1"/>
    <col min="8717" max="8717" width="12" style="62" customWidth="1"/>
    <col min="8718" max="8718" width="10.875" style="62" customWidth="1"/>
    <col min="8719" max="8719" width="18.375" style="62" customWidth="1"/>
    <col min="8720" max="8720" width="10.5" style="62" customWidth="1"/>
    <col min="8721" max="8952" width="9" style="62"/>
    <col min="8953" max="8953" width="13.125" style="62" customWidth="1"/>
    <col min="8954" max="8954" width="13.5" style="62" customWidth="1"/>
    <col min="8955" max="8955" width="21.625" style="62" customWidth="1"/>
    <col min="8956" max="8956" width="23.5" style="62" customWidth="1"/>
    <col min="8957" max="8958" width="16.5" style="62" customWidth="1"/>
    <col min="8959" max="8959" width="18.375" style="62" customWidth="1"/>
    <col min="8960" max="8960" width="13.375" style="62" customWidth="1"/>
    <col min="8961" max="8961" width="11.375" style="62" customWidth="1"/>
    <col min="8962" max="8962" width="14.375" style="62" customWidth="1"/>
    <col min="8963" max="8963" width="16.625" style="62" customWidth="1"/>
    <col min="8964" max="8966" width="10" style="62" customWidth="1"/>
    <col min="8967" max="8968" width="10.625" style="62" customWidth="1"/>
    <col min="8969" max="8970" width="12.875" style="62" customWidth="1"/>
    <col min="8971" max="8971" width="15" style="62" customWidth="1"/>
    <col min="8972" max="8972" width="13.875" style="62" customWidth="1"/>
    <col min="8973" max="8973" width="12" style="62" customWidth="1"/>
    <col min="8974" max="8974" width="10.875" style="62" customWidth="1"/>
    <col min="8975" max="8975" width="18.375" style="62" customWidth="1"/>
    <col min="8976" max="8976" width="10.5" style="62" customWidth="1"/>
    <col min="8977" max="9208" width="9" style="62"/>
    <col min="9209" max="9209" width="13.125" style="62" customWidth="1"/>
    <col min="9210" max="9210" width="13.5" style="62" customWidth="1"/>
    <col min="9211" max="9211" width="21.625" style="62" customWidth="1"/>
    <col min="9212" max="9212" width="23.5" style="62" customWidth="1"/>
    <col min="9213" max="9214" width="16.5" style="62" customWidth="1"/>
    <col min="9215" max="9215" width="18.375" style="62" customWidth="1"/>
    <col min="9216" max="9216" width="13.375" style="62" customWidth="1"/>
    <col min="9217" max="9217" width="11.375" style="62" customWidth="1"/>
    <col min="9218" max="9218" width="14.375" style="62" customWidth="1"/>
    <col min="9219" max="9219" width="16.625" style="62" customWidth="1"/>
    <col min="9220" max="9222" width="10" style="62" customWidth="1"/>
    <col min="9223" max="9224" width="10.625" style="62" customWidth="1"/>
    <col min="9225" max="9226" width="12.875" style="62" customWidth="1"/>
    <col min="9227" max="9227" width="15" style="62" customWidth="1"/>
    <col min="9228" max="9228" width="13.875" style="62" customWidth="1"/>
    <col min="9229" max="9229" width="12" style="62" customWidth="1"/>
    <col min="9230" max="9230" width="10.875" style="62" customWidth="1"/>
    <col min="9231" max="9231" width="18.375" style="62" customWidth="1"/>
    <col min="9232" max="9232" width="10.5" style="62" customWidth="1"/>
    <col min="9233" max="9464" width="9" style="62"/>
    <col min="9465" max="9465" width="13.125" style="62" customWidth="1"/>
    <col min="9466" max="9466" width="13.5" style="62" customWidth="1"/>
    <col min="9467" max="9467" width="21.625" style="62" customWidth="1"/>
    <col min="9468" max="9468" width="23.5" style="62" customWidth="1"/>
    <col min="9469" max="9470" width="16.5" style="62" customWidth="1"/>
    <col min="9471" max="9471" width="18.375" style="62" customWidth="1"/>
    <col min="9472" max="9472" width="13.375" style="62" customWidth="1"/>
    <col min="9473" max="9473" width="11.375" style="62" customWidth="1"/>
    <col min="9474" max="9474" width="14.375" style="62" customWidth="1"/>
    <col min="9475" max="9475" width="16.625" style="62" customWidth="1"/>
    <col min="9476" max="9478" width="10" style="62" customWidth="1"/>
    <col min="9479" max="9480" width="10.625" style="62" customWidth="1"/>
    <col min="9481" max="9482" width="12.875" style="62" customWidth="1"/>
    <col min="9483" max="9483" width="15" style="62" customWidth="1"/>
    <col min="9484" max="9484" width="13.875" style="62" customWidth="1"/>
    <col min="9485" max="9485" width="12" style="62" customWidth="1"/>
    <col min="9486" max="9486" width="10.875" style="62" customWidth="1"/>
    <col min="9487" max="9487" width="18.375" style="62" customWidth="1"/>
    <col min="9488" max="9488" width="10.5" style="62" customWidth="1"/>
    <col min="9489" max="9720" width="9" style="62"/>
    <col min="9721" max="9721" width="13.125" style="62" customWidth="1"/>
    <col min="9722" max="9722" width="13.5" style="62" customWidth="1"/>
    <col min="9723" max="9723" width="21.625" style="62" customWidth="1"/>
    <col min="9724" max="9724" width="23.5" style="62" customWidth="1"/>
    <col min="9725" max="9726" width="16.5" style="62" customWidth="1"/>
    <col min="9727" max="9727" width="18.375" style="62" customWidth="1"/>
    <col min="9728" max="9728" width="13.375" style="62" customWidth="1"/>
    <col min="9729" max="9729" width="11.375" style="62" customWidth="1"/>
    <col min="9730" max="9730" width="14.375" style="62" customWidth="1"/>
    <col min="9731" max="9731" width="16.625" style="62" customWidth="1"/>
    <col min="9732" max="9734" width="10" style="62" customWidth="1"/>
    <col min="9735" max="9736" width="10.625" style="62" customWidth="1"/>
    <col min="9737" max="9738" width="12.875" style="62" customWidth="1"/>
    <col min="9739" max="9739" width="15" style="62" customWidth="1"/>
    <col min="9740" max="9740" width="13.875" style="62" customWidth="1"/>
    <col min="9741" max="9741" width="12" style="62" customWidth="1"/>
    <col min="9742" max="9742" width="10.875" style="62" customWidth="1"/>
    <col min="9743" max="9743" width="18.375" style="62" customWidth="1"/>
    <col min="9744" max="9744" width="10.5" style="62" customWidth="1"/>
    <col min="9745" max="9976" width="9" style="62"/>
    <col min="9977" max="9977" width="13.125" style="62" customWidth="1"/>
    <col min="9978" max="9978" width="13.5" style="62" customWidth="1"/>
    <col min="9979" max="9979" width="21.625" style="62" customWidth="1"/>
    <col min="9980" max="9980" width="23.5" style="62" customWidth="1"/>
    <col min="9981" max="9982" width="16.5" style="62" customWidth="1"/>
    <col min="9983" max="9983" width="18.375" style="62" customWidth="1"/>
    <col min="9984" max="9984" width="13.375" style="62" customWidth="1"/>
    <col min="9985" max="9985" width="11.375" style="62" customWidth="1"/>
    <col min="9986" max="9986" width="14.375" style="62" customWidth="1"/>
    <col min="9987" max="9987" width="16.625" style="62" customWidth="1"/>
    <col min="9988" max="9990" width="10" style="62" customWidth="1"/>
    <col min="9991" max="9992" width="10.625" style="62" customWidth="1"/>
    <col min="9993" max="9994" width="12.875" style="62" customWidth="1"/>
    <col min="9995" max="9995" width="15" style="62" customWidth="1"/>
    <col min="9996" max="9996" width="13.875" style="62" customWidth="1"/>
    <col min="9997" max="9997" width="12" style="62" customWidth="1"/>
    <col min="9998" max="9998" width="10.875" style="62" customWidth="1"/>
    <col min="9999" max="9999" width="18.375" style="62" customWidth="1"/>
    <col min="10000" max="10000" width="10.5" style="62" customWidth="1"/>
    <col min="10001" max="10232" width="9" style="62"/>
    <col min="10233" max="10233" width="13.125" style="62" customWidth="1"/>
    <col min="10234" max="10234" width="13.5" style="62" customWidth="1"/>
    <col min="10235" max="10235" width="21.625" style="62" customWidth="1"/>
    <col min="10236" max="10236" width="23.5" style="62" customWidth="1"/>
    <col min="10237" max="10238" width="16.5" style="62" customWidth="1"/>
    <col min="10239" max="10239" width="18.375" style="62" customWidth="1"/>
    <col min="10240" max="10240" width="13.375" style="62" customWidth="1"/>
    <col min="10241" max="10241" width="11.375" style="62" customWidth="1"/>
    <col min="10242" max="10242" width="14.375" style="62" customWidth="1"/>
    <col min="10243" max="10243" width="16.625" style="62" customWidth="1"/>
    <col min="10244" max="10246" width="10" style="62" customWidth="1"/>
    <col min="10247" max="10248" width="10.625" style="62" customWidth="1"/>
    <col min="10249" max="10250" width="12.875" style="62" customWidth="1"/>
    <col min="10251" max="10251" width="15" style="62" customWidth="1"/>
    <col min="10252" max="10252" width="13.875" style="62" customWidth="1"/>
    <col min="10253" max="10253" width="12" style="62" customWidth="1"/>
    <col min="10254" max="10254" width="10.875" style="62" customWidth="1"/>
    <col min="10255" max="10255" width="18.375" style="62" customWidth="1"/>
    <col min="10256" max="10256" width="10.5" style="62" customWidth="1"/>
    <col min="10257" max="10488" width="9" style="62"/>
    <col min="10489" max="10489" width="13.125" style="62" customWidth="1"/>
    <col min="10490" max="10490" width="13.5" style="62" customWidth="1"/>
    <col min="10491" max="10491" width="21.625" style="62" customWidth="1"/>
    <col min="10492" max="10492" width="23.5" style="62" customWidth="1"/>
    <col min="10493" max="10494" width="16.5" style="62" customWidth="1"/>
    <col min="10495" max="10495" width="18.375" style="62" customWidth="1"/>
    <col min="10496" max="10496" width="13.375" style="62" customWidth="1"/>
    <col min="10497" max="10497" width="11.375" style="62" customWidth="1"/>
    <col min="10498" max="10498" width="14.375" style="62" customWidth="1"/>
    <col min="10499" max="10499" width="16.625" style="62" customWidth="1"/>
    <col min="10500" max="10502" width="10" style="62" customWidth="1"/>
    <col min="10503" max="10504" width="10.625" style="62" customWidth="1"/>
    <col min="10505" max="10506" width="12.875" style="62" customWidth="1"/>
    <col min="10507" max="10507" width="15" style="62" customWidth="1"/>
    <col min="10508" max="10508" width="13.875" style="62" customWidth="1"/>
    <col min="10509" max="10509" width="12" style="62" customWidth="1"/>
    <col min="10510" max="10510" width="10.875" style="62" customWidth="1"/>
    <col min="10511" max="10511" width="18.375" style="62" customWidth="1"/>
    <col min="10512" max="10512" width="10.5" style="62" customWidth="1"/>
    <col min="10513" max="10744" width="9" style="62"/>
    <col min="10745" max="10745" width="13.125" style="62" customWidth="1"/>
    <col min="10746" max="10746" width="13.5" style="62" customWidth="1"/>
    <col min="10747" max="10747" width="21.625" style="62" customWidth="1"/>
    <col min="10748" max="10748" width="23.5" style="62" customWidth="1"/>
    <col min="10749" max="10750" width="16.5" style="62" customWidth="1"/>
    <col min="10751" max="10751" width="18.375" style="62" customWidth="1"/>
    <col min="10752" max="10752" width="13.375" style="62" customWidth="1"/>
    <col min="10753" max="10753" width="11.375" style="62" customWidth="1"/>
    <col min="10754" max="10754" width="14.375" style="62" customWidth="1"/>
    <col min="10755" max="10755" width="16.625" style="62" customWidth="1"/>
    <col min="10756" max="10758" width="10" style="62" customWidth="1"/>
    <col min="10759" max="10760" width="10.625" style="62" customWidth="1"/>
    <col min="10761" max="10762" width="12.875" style="62" customWidth="1"/>
    <col min="10763" max="10763" width="15" style="62" customWidth="1"/>
    <col min="10764" max="10764" width="13.875" style="62" customWidth="1"/>
    <col min="10765" max="10765" width="12" style="62" customWidth="1"/>
    <col min="10766" max="10766" width="10.875" style="62" customWidth="1"/>
    <col min="10767" max="10767" width="18.375" style="62" customWidth="1"/>
    <col min="10768" max="10768" width="10.5" style="62" customWidth="1"/>
    <col min="10769" max="11000" width="9" style="62"/>
    <col min="11001" max="11001" width="13.125" style="62" customWidth="1"/>
    <col min="11002" max="11002" width="13.5" style="62" customWidth="1"/>
    <col min="11003" max="11003" width="21.625" style="62" customWidth="1"/>
    <col min="11004" max="11004" width="23.5" style="62" customWidth="1"/>
    <col min="11005" max="11006" width="16.5" style="62" customWidth="1"/>
    <col min="11007" max="11007" width="18.375" style="62" customWidth="1"/>
    <col min="11008" max="11008" width="13.375" style="62" customWidth="1"/>
    <col min="11009" max="11009" width="11.375" style="62" customWidth="1"/>
    <col min="11010" max="11010" width="14.375" style="62" customWidth="1"/>
    <col min="11011" max="11011" width="16.625" style="62" customWidth="1"/>
    <col min="11012" max="11014" width="10" style="62" customWidth="1"/>
    <col min="11015" max="11016" width="10.625" style="62" customWidth="1"/>
    <col min="11017" max="11018" width="12.875" style="62" customWidth="1"/>
    <col min="11019" max="11019" width="15" style="62" customWidth="1"/>
    <col min="11020" max="11020" width="13.875" style="62" customWidth="1"/>
    <col min="11021" max="11021" width="12" style="62" customWidth="1"/>
    <col min="11022" max="11022" width="10.875" style="62" customWidth="1"/>
    <col min="11023" max="11023" width="18.375" style="62" customWidth="1"/>
    <col min="11024" max="11024" width="10.5" style="62" customWidth="1"/>
    <col min="11025" max="11256" width="9" style="62"/>
    <col min="11257" max="11257" width="13.125" style="62" customWidth="1"/>
    <col min="11258" max="11258" width="13.5" style="62" customWidth="1"/>
    <col min="11259" max="11259" width="21.625" style="62" customWidth="1"/>
    <col min="11260" max="11260" width="23.5" style="62" customWidth="1"/>
    <col min="11261" max="11262" width="16.5" style="62" customWidth="1"/>
    <col min="11263" max="11263" width="18.375" style="62" customWidth="1"/>
    <col min="11264" max="11264" width="13.375" style="62" customWidth="1"/>
    <col min="11265" max="11265" width="11.375" style="62" customWidth="1"/>
    <col min="11266" max="11266" width="14.375" style="62" customWidth="1"/>
    <col min="11267" max="11267" width="16.625" style="62" customWidth="1"/>
    <col min="11268" max="11270" width="10" style="62" customWidth="1"/>
    <col min="11271" max="11272" width="10.625" style="62" customWidth="1"/>
    <col min="11273" max="11274" width="12.875" style="62" customWidth="1"/>
    <col min="11275" max="11275" width="15" style="62" customWidth="1"/>
    <col min="11276" max="11276" width="13.875" style="62" customWidth="1"/>
    <col min="11277" max="11277" width="12" style="62" customWidth="1"/>
    <col min="11278" max="11278" width="10.875" style="62" customWidth="1"/>
    <col min="11279" max="11279" width="18.375" style="62" customWidth="1"/>
    <col min="11280" max="11280" width="10.5" style="62" customWidth="1"/>
    <col min="11281" max="11512" width="9" style="62"/>
    <col min="11513" max="11513" width="13.125" style="62" customWidth="1"/>
    <col min="11514" max="11514" width="13.5" style="62" customWidth="1"/>
    <col min="11515" max="11515" width="21.625" style="62" customWidth="1"/>
    <col min="11516" max="11516" width="23.5" style="62" customWidth="1"/>
    <col min="11517" max="11518" width="16.5" style="62" customWidth="1"/>
    <col min="11519" max="11519" width="18.375" style="62" customWidth="1"/>
    <col min="11520" max="11520" width="13.375" style="62" customWidth="1"/>
    <col min="11521" max="11521" width="11.375" style="62" customWidth="1"/>
    <col min="11522" max="11522" width="14.375" style="62" customWidth="1"/>
    <col min="11523" max="11523" width="16.625" style="62" customWidth="1"/>
    <col min="11524" max="11526" width="10" style="62" customWidth="1"/>
    <col min="11527" max="11528" width="10.625" style="62" customWidth="1"/>
    <col min="11529" max="11530" width="12.875" style="62" customWidth="1"/>
    <col min="11531" max="11531" width="15" style="62" customWidth="1"/>
    <col min="11532" max="11532" width="13.875" style="62" customWidth="1"/>
    <col min="11533" max="11533" width="12" style="62" customWidth="1"/>
    <col min="11534" max="11534" width="10.875" style="62" customWidth="1"/>
    <col min="11535" max="11535" width="18.375" style="62" customWidth="1"/>
    <col min="11536" max="11536" width="10.5" style="62" customWidth="1"/>
    <col min="11537" max="11768" width="9" style="62"/>
    <col min="11769" max="11769" width="13.125" style="62" customWidth="1"/>
    <col min="11770" max="11770" width="13.5" style="62" customWidth="1"/>
    <col min="11771" max="11771" width="21.625" style="62" customWidth="1"/>
    <col min="11772" max="11772" width="23.5" style="62" customWidth="1"/>
    <col min="11773" max="11774" width="16.5" style="62" customWidth="1"/>
    <col min="11775" max="11775" width="18.375" style="62" customWidth="1"/>
    <col min="11776" max="11776" width="13.375" style="62" customWidth="1"/>
    <col min="11777" max="11777" width="11.375" style="62" customWidth="1"/>
    <col min="11778" max="11778" width="14.375" style="62" customWidth="1"/>
    <col min="11779" max="11779" width="16.625" style="62" customWidth="1"/>
    <col min="11780" max="11782" width="10" style="62" customWidth="1"/>
    <col min="11783" max="11784" width="10.625" style="62" customWidth="1"/>
    <col min="11785" max="11786" width="12.875" style="62" customWidth="1"/>
    <col min="11787" max="11787" width="15" style="62" customWidth="1"/>
    <col min="11788" max="11788" width="13.875" style="62" customWidth="1"/>
    <col min="11789" max="11789" width="12" style="62" customWidth="1"/>
    <col min="11790" max="11790" width="10.875" style="62" customWidth="1"/>
    <col min="11791" max="11791" width="18.375" style="62" customWidth="1"/>
    <col min="11792" max="11792" width="10.5" style="62" customWidth="1"/>
    <col min="11793" max="12024" width="9" style="62"/>
    <col min="12025" max="12025" width="13.125" style="62" customWidth="1"/>
    <col min="12026" max="12026" width="13.5" style="62" customWidth="1"/>
    <col min="12027" max="12027" width="21.625" style="62" customWidth="1"/>
    <col min="12028" max="12028" width="23.5" style="62" customWidth="1"/>
    <col min="12029" max="12030" width="16.5" style="62" customWidth="1"/>
    <col min="12031" max="12031" width="18.375" style="62" customWidth="1"/>
    <col min="12032" max="12032" width="13.375" style="62" customWidth="1"/>
    <col min="12033" max="12033" width="11.375" style="62" customWidth="1"/>
    <col min="12034" max="12034" width="14.375" style="62" customWidth="1"/>
    <col min="12035" max="12035" width="16.625" style="62" customWidth="1"/>
    <col min="12036" max="12038" width="10" style="62" customWidth="1"/>
    <col min="12039" max="12040" width="10.625" style="62" customWidth="1"/>
    <col min="12041" max="12042" width="12.875" style="62" customWidth="1"/>
    <col min="12043" max="12043" width="15" style="62" customWidth="1"/>
    <col min="12044" max="12044" width="13.875" style="62" customWidth="1"/>
    <col min="12045" max="12045" width="12" style="62" customWidth="1"/>
    <col min="12046" max="12046" width="10.875" style="62" customWidth="1"/>
    <col min="12047" max="12047" width="18.375" style="62" customWidth="1"/>
    <col min="12048" max="12048" width="10.5" style="62" customWidth="1"/>
    <col min="12049" max="12280" width="9" style="62"/>
    <col min="12281" max="12281" width="13.125" style="62" customWidth="1"/>
    <col min="12282" max="12282" width="13.5" style="62" customWidth="1"/>
    <col min="12283" max="12283" width="21.625" style="62" customWidth="1"/>
    <col min="12284" max="12284" width="23.5" style="62" customWidth="1"/>
    <col min="12285" max="12286" width="16.5" style="62" customWidth="1"/>
    <col min="12287" max="12287" width="18.375" style="62" customWidth="1"/>
    <col min="12288" max="12288" width="13.375" style="62" customWidth="1"/>
    <col min="12289" max="12289" width="11.375" style="62" customWidth="1"/>
    <col min="12290" max="12290" width="14.375" style="62" customWidth="1"/>
    <col min="12291" max="12291" width="16.625" style="62" customWidth="1"/>
    <col min="12292" max="12294" width="10" style="62" customWidth="1"/>
    <col min="12295" max="12296" width="10.625" style="62" customWidth="1"/>
    <col min="12297" max="12298" width="12.875" style="62" customWidth="1"/>
    <col min="12299" max="12299" width="15" style="62" customWidth="1"/>
    <col min="12300" max="12300" width="13.875" style="62" customWidth="1"/>
    <col min="12301" max="12301" width="12" style="62" customWidth="1"/>
    <col min="12302" max="12302" width="10.875" style="62" customWidth="1"/>
    <col min="12303" max="12303" width="18.375" style="62" customWidth="1"/>
    <col min="12304" max="12304" width="10.5" style="62" customWidth="1"/>
    <col min="12305" max="12536" width="9" style="62"/>
    <col min="12537" max="12537" width="13.125" style="62" customWidth="1"/>
    <col min="12538" max="12538" width="13.5" style="62" customWidth="1"/>
    <col min="12539" max="12539" width="21.625" style="62" customWidth="1"/>
    <col min="12540" max="12540" width="23.5" style="62" customWidth="1"/>
    <col min="12541" max="12542" width="16.5" style="62" customWidth="1"/>
    <col min="12543" max="12543" width="18.375" style="62" customWidth="1"/>
    <col min="12544" max="12544" width="13.375" style="62" customWidth="1"/>
    <col min="12545" max="12545" width="11.375" style="62" customWidth="1"/>
    <col min="12546" max="12546" width="14.375" style="62" customWidth="1"/>
    <col min="12547" max="12547" width="16.625" style="62" customWidth="1"/>
    <col min="12548" max="12550" width="10" style="62" customWidth="1"/>
    <col min="12551" max="12552" width="10.625" style="62" customWidth="1"/>
    <col min="12553" max="12554" width="12.875" style="62" customWidth="1"/>
    <col min="12555" max="12555" width="15" style="62" customWidth="1"/>
    <col min="12556" max="12556" width="13.875" style="62" customWidth="1"/>
    <col min="12557" max="12557" width="12" style="62" customWidth="1"/>
    <col min="12558" max="12558" width="10.875" style="62" customWidth="1"/>
    <col min="12559" max="12559" width="18.375" style="62" customWidth="1"/>
    <col min="12560" max="12560" width="10.5" style="62" customWidth="1"/>
    <col min="12561" max="12792" width="9" style="62"/>
    <col min="12793" max="12793" width="13.125" style="62" customWidth="1"/>
    <col min="12794" max="12794" width="13.5" style="62" customWidth="1"/>
    <col min="12795" max="12795" width="21.625" style="62" customWidth="1"/>
    <col min="12796" max="12796" width="23.5" style="62" customWidth="1"/>
    <col min="12797" max="12798" width="16.5" style="62" customWidth="1"/>
    <col min="12799" max="12799" width="18.375" style="62" customWidth="1"/>
    <col min="12800" max="12800" width="13.375" style="62" customWidth="1"/>
    <col min="12801" max="12801" width="11.375" style="62" customWidth="1"/>
    <col min="12802" max="12802" width="14.375" style="62" customWidth="1"/>
    <col min="12803" max="12803" width="16.625" style="62" customWidth="1"/>
    <col min="12804" max="12806" width="10" style="62" customWidth="1"/>
    <col min="12807" max="12808" width="10.625" style="62" customWidth="1"/>
    <col min="12809" max="12810" width="12.875" style="62" customWidth="1"/>
    <col min="12811" max="12811" width="15" style="62" customWidth="1"/>
    <col min="12812" max="12812" width="13.875" style="62" customWidth="1"/>
    <col min="12813" max="12813" width="12" style="62" customWidth="1"/>
    <col min="12814" max="12814" width="10.875" style="62" customWidth="1"/>
    <col min="12815" max="12815" width="18.375" style="62" customWidth="1"/>
    <col min="12816" max="12816" width="10.5" style="62" customWidth="1"/>
    <col min="12817" max="13048" width="9" style="62"/>
    <col min="13049" max="13049" width="13.125" style="62" customWidth="1"/>
    <col min="13050" max="13050" width="13.5" style="62" customWidth="1"/>
    <col min="13051" max="13051" width="21.625" style="62" customWidth="1"/>
    <col min="13052" max="13052" width="23.5" style="62" customWidth="1"/>
    <col min="13053" max="13054" width="16.5" style="62" customWidth="1"/>
    <col min="13055" max="13055" width="18.375" style="62" customWidth="1"/>
    <col min="13056" max="13056" width="13.375" style="62" customWidth="1"/>
    <col min="13057" max="13057" width="11.375" style="62" customWidth="1"/>
    <col min="13058" max="13058" width="14.375" style="62" customWidth="1"/>
    <col min="13059" max="13059" width="16.625" style="62" customWidth="1"/>
    <col min="13060" max="13062" width="10" style="62" customWidth="1"/>
    <col min="13063" max="13064" width="10.625" style="62" customWidth="1"/>
    <col min="13065" max="13066" width="12.875" style="62" customWidth="1"/>
    <col min="13067" max="13067" width="15" style="62" customWidth="1"/>
    <col min="13068" max="13068" width="13.875" style="62" customWidth="1"/>
    <col min="13069" max="13069" width="12" style="62" customWidth="1"/>
    <col min="13070" max="13070" width="10.875" style="62" customWidth="1"/>
    <col min="13071" max="13071" width="18.375" style="62" customWidth="1"/>
    <col min="13072" max="13072" width="10.5" style="62" customWidth="1"/>
    <col min="13073" max="13304" width="9" style="62"/>
    <col min="13305" max="13305" width="13.125" style="62" customWidth="1"/>
    <col min="13306" max="13306" width="13.5" style="62" customWidth="1"/>
    <col min="13307" max="13307" width="21.625" style="62" customWidth="1"/>
    <col min="13308" max="13308" width="23.5" style="62" customWidth="1"/>
    <col min="13309" max="13310" width="16.5" style="62" customWidth="1"/>
    <col min="13311" max="13311" width="18.375" style="62" customWidth="1"/>
    <col min="13312" max="13312" width="13.375" style="62" customWidth="1"/>
    <col min="13313" max="13313" width="11.375" style="62" customWidth="1"/>
    <col min="13314" max="13314" width="14.375" style="62" customWidth="1"/>
    <col min="13315" max="13315" width="16.625" style="62" customWidth="1"/>
    <col min="13316" max="13318" width="10" style="62" customWidth="1"/>
    <col min="13319" max="13320" width="10.625" style="62" customWidth="1"/>
    <col min="13321" max="13322" width="12.875" style="62" customWidth="1"/>
    <col min="13323" max="13323" width="15" style="62" customWidth="1"/>
    <col min="13324" max="13324" width="13.875" style="62" customWidth="1"/>
    <col min="13325" max="13325" width="12" style="62" customWidth="1"/>
    <col min="13326" max="13326" width="10.875" style="62" customWidth="1"/>
    <col min="13327" max="13327" width="18.375" style="62" customWidth="1"/>
    <col min="13328" max="13328" width="10.5" style="62" customWidth="1"/>
    <col min="13329" max="13560" width="9" style="62"/>
    <col min="13561" max="13561" width="13.125" style="62" customWidth="1"/>
    <col min="13562" max="13562" width="13.5" style="62" customWidth="1"/>
    <col min="13563" max="13563" width="21.625" style="62" customWidth="1"/>
    <col min="13564" max="13564" width="23.5" style="62" customWidth="1"/>
    <col min="13565" max="13566" width="16.5" style="62" customWidth="1"/>
    <col min="13567" max="13567" width="18.375" style="62" customWidth="1"/>
    <col min="13568" max="13568" width="13.375" style="62" customWidth="1"/>
    <col min="13569" max="13569" width="11.375" style="62" customWidth="1"/>
    <col min="13570" max="13570" width="14.375" style="62" customWidth="1"/>
    <col min="13571" max="13571" width="16.625" style="62" customWidth="1"/>
    <col min="13572" max="13574" width="10" style="62" customWidth="1"/>
    <col min="13575" max="13576" width="10.625" style="62" customWidth="1"/>
    <col min="13577" max="13578" width="12.875" style="62" customWidth="1"/>
    <col min="13579" max="13579" width="15" style="62" customWidth="1"/>
    <col min="13580" max="13580" width="13.875" style="62" customWidth="1"/>
    <col min="13581" max="13581" width="12" style="62" customWidth="1"/>
    <col min="13582" max="13582" width="10.875" style="62" customWidth="1"/>
    <col min="13583" max="13583" width="18.375" style="62" customWidth="1"/>
    <col min="13584" max="13584" width="10.5" style="62" customWidth="1"/>
    <col min="13585" max="13816" width="9" style="62"/>
    <col min="13817" max="13817" width="13.125" style="62" customWidth="1"/>
    <col min="13818" max="13818" width="13.5" style="62" customWidth="1"/>
    <col min="13819" max="13819" width="21.625" style="62" customWidth="1"/>
    <col min="13820" max="13820" width="23.5" style="62" customWidth="1"/>
    <col min="13821" max="13822" width="16.5" style="62" customWidth="1"/>
    <col min="13823" max="13823" width="18.375" style="62" customWidth="1"/>
    <col min="13824" max="13824" width="13.375" style="62" customWidth="1"/>
    <col min="13825" max="13825" width="11.375" style="62" customWidth="1"/>
    <col min="13826" max="13826" width="14.375" style="62" customWidth="1"/>
    <col min="13827" max="13827" width="16.625" style="62" customWidth="1"/>
    <col min="13828" max="13830" width="10" style="62" customWidth="1"/>
    <col min="13831" max="13832" width="10.625" style="62" customWidth="1"/>
    <col min="13833" max="13834" width="12.875" style="62" customWidth="1"/>
    <col min="13835" max="13835" width="15" style="62" customWidth="1"/>
    <col min="13836" max="13836" width="13.875" style="62" customWidth="1"/>
    <col min="13837" max="13837" width="12" style="62" customWidth="1"/>
    <col min="13838" max="13838" width="10.875" style="62" customWidth="1"/>
    <col min="13839" max="13839" width="18.375" style="62" customWidth="1"/>
    <col min="13840" max="13840" width="10.5" style="62" customWidth="1"/>
    <col min="13841" max="14072" width="9" style="62"/>
    <col min="14073" max="14073" width="13.125" style="62" customWidth="1"/>
    <col min="14074" max="14074" width="13.5" style="62" customWidth="1"/>
    <col min="14075" max="14075" width="21.625" style="62" customWidth="1"/>
    <col min="14076" max="14076" width="23.5" style="62" customWidth="1"/>
    <col min="14077" max="14078" width="16.5" style="62" customWidth="1"/>
    <col min="14079" max="14079" width="18.375" style="62" customWidth="1"/>
    <col min="14080" max="14080" width="13.375" style="62" customWidth="1"/>
    <col min="14081" max="14081" width="11.375" style="62" customWidth="1"/>
    <col min="14082" max="14082" width="14.375" style="62" customWidth="1"/>
    <col min="14083" max="14083" width="16.625" style="62" customWidth="1"/>
    <col min="14084" max="14086" width="10" style="62" customWidth="1"/>
    <col min="14087" max="14088" width="10.625" style="62" customWidth="1"/>
    <col min="14089" max="14090" width="12.875" style="62" customWidth="1"/>
    <col min="14091" max="14091" width="15" style="62" customWidth="1"/>
    <col min="14092" max="14092" width="13.875" style="62" customWidth="1"/>
    <col min="14093" max="14093" width="12" style="62" customWidth="1"/>
    <col min="14094" max="14094" width="10.875" style="62" customWidth="1"/>
    <col min="14095" max="14095" width="18.375" style="62" customWidth="1"/>
    <col min="14096" max="14096" width="10.5" style="62" customWidth="1"/>
    <col min="14097" max="14328" width="9" style="62"/>
    <col min="14329" max="14329" width="13.125" style="62" customWidth="1"/>
    <col min="14330" max="14330" width="13.5" style="62" customWidth="1"/>
    <col min="14331" max="14331" width="21.625" style="62" customWidth="1"/>
    <col min="14332" max="14332" width="23.5" style="62" customWidth="1"/>
    <col min="14333" max="14334" width="16.5" style="62" customWidth="1"/>
    <col min="14335" max="14335" width="18.375" style="62" customWidth="1"/>
    <col min="14336" max="14336" width="13.375" style="62" customWidth="1"/>
    <col min="14337" max="14337" width="11.375" style="62" customWidth="1"/>
    <col min="14338" max="14338" width="14.375" style="62" customWidth="1"/>
    <col min="14339" max="14339" width="16.625" style="62" customWidth="1"/>
    <col min="14340" max="14342" width="10" style="62" customWidth="1"/>
    <col min="14343" max="14344" width="10.625" style="62" customWidth="1"/>
    <col min="14345" max="14346" width="12.875" style="62" customWidth="1"/>
    <col min="14347" max="14347" width="15" style="62" customWidth="1"/>
    <col min="14348" max="14348" width="13.875" style="62" customWidth="1"/>
    <col min="14349" max="14349" width="12" style="62" customWidth="1"/>
    <col min="14350" max="14350" width="10.875" style="62" customWidth="1"/>
    <col min="14351" max="14351" width="18.375" style="62" customWidth="1"/>
    <col min="14352" max="14352" width="10.5" style="62" customWidth="1"/>
    <col min="14353" max="14584" width="9" style="62"/>
    <col min="14585" max="14585" width="13.125" style="62" customWidth="1"/>
    <col min="14586" max="14586" width="13.5" style="62" customWidth="1"/>
    <col min="14587" max="14587" width="21.625" style="62" customWidth="1"/>
    <col min="14588" max="14588" width="23.5" style="62" customWidth="1"/>
    <col min="14589" max="14590" width="16.5" style="62" customWidth="1"/>
    <col min="14591" max="14591" width="18.375" style="62" customWidth="1"/>
    <col min="14592" max="14592" width="13.375" style="62" customWidth="1"/>
    <col min="14593" max="14593" width="11.375" style="62" customWidth="1"/>
    <col min="14594" max="14594" width="14.375" style="62" customWidth="1"/>
    <col min="14595" max="14595" width="16.625" style="62" customWidth="1"/>
    <col min="14596" max="14598" width="10" style="62" customWidth="1"/>
    <col min="14599" max="14600" width="10.625" style="62" customWidth="1"/>
    <col min="14601" max="14602" width="12.875" style="62" customWidth="1"/>
    <col min="14603" max="14603" width="15" style="62" customWidth="1"/>
    <col min="14604" max="14604" width="13.875" style="62" customWidth="1"/>
    <col min="14605" max="14605" width="12" style="62" customWidth="1"/>
    <col min="14606" max="14606" width="10.875" style="62" customWidth="1"/>
    <col min="14607" max="14607" width="18.375" style="62" customWidth="1"/>
    <col min="14608" max="14608" width="10.5" style="62" customWidth="1"/>
    <col min="14609" max="14840" width="9" style="62"/>
    <col min="14841" max="14841" width="13.125" style="62" customWidth="1"/>
    <col min="14842" max="14842" width="13.5" style="62" customWidth="1"/>
    <col min="14843" max="14843" width="21.625" style="62" customWidth="1"/>
    <col min="14844" max="14844" width="23.5" style="62" customWidth="1"/>
    <col min="14845" max="14846" width="16.5" style="62" customWidth="1"/>
    <col min="14847" max="14847" width="18.375" style="62" customWidth="1"/>
    <col min="14848" max="14848" width="13.375" style="62" customWidth="1"/>
    <col min="14849" max="14849" width="11.375" style="62" customWidth="1"/>
    <col min="14850" max="14850" width="14.375" style="62" customWidth="1"/>
    <col min="14851" max="14851" width="16.625" style="62" customWidth="1"/>
    <col min="14852" max="14854" width="10" style="62" customWidth="1"/>
    <col min="14855" max="14856" width="10.625" style="62" customWidth="1"/>
    <col min="14857" max="14858" width="12.875" style="62" customWidth="1"/>
    <col min="14859" max="14859" width="15" style="62" customWidth="1"/>
    <col min="14860" max="14860" width="13.875" style="62" customWidth="1"/>
    <col min="14861" max="14861" width="12" style="62" customWidth="1"/>
    <col min="14862" max="14862" width="10.875" style="62" customWidth="1"/>
    <col min="14863" max="14863" width="18.375" style="62" customWidth="1"/>
    <col min="14864" max="14864" width="10.5" style="62" customWidth="1"/>
    <col min="14865" max="15096" width="9" style="62"/>
    <col min="15097" max="15097" width="13.125" style="62" customWidth="1"/>
    <col min="15098" max="15098" width="13.5" style="62" customWidth="1"/>
    <col min="15099" max="15099" width="21.625" style="62" customWidth="1"/>
    <col min="15100" max="15100" width="23.5" style="62" customWidth="1"/>
    <col min="15101" max="15102" width="16.5" style="62" customWidth="1"/>
    <col min="15103" max="15103" width="18.375" style="62" customWidth="1"/>
    <col min="15104" max="15104" width="13.375" style="62" customWidth="1"/>
    <col min="15105" max="15105" width="11.375" style="62" customWidth="1"/>
    <col min="15106" max="15106" width="14.375" style="62" customWidth="1"/>
    <col min="15107" max="15107" width="16.625" style="62" customWidth="1"/>
    <col min="15108" max="15110" width="10" style="62" customWidth="1"/>
    <col min="15111" max="15112" width="10.625" style="62" customWidth="1"/>
    <col min="15113" max="15114" width="12.875" style="62" customWidth="1"/>
    <col min="15115" max="15115" width="15" style="62" customWidth="1"/>
    <col min="15116" max="15116" width="13.875" style="62" customWidth="1"/>
    <col min="15117" max="15117" width="12" style="62" customWidth="1"/>
    <col min="15118" max="15118" width="10.875" style="62" customWidth="1"/>
    <col min="15119" max="15119" width="18.375" style="62" customWidth="1"/>
    <col min="15120" max="15120" width="10.5" style="62" customWidth="1"/>
    <col min="15121" max="15352" width="9" style="62"/>
    <col min="15353" max="15353" width="13.125" style="62" customWidth="1"/>
    <col min="15354" max="15354" width="13.5" style="62" customWidth="1"/>
    <col min="15355" max="15355" width="21.625" style="62" customWidth="1"/>
    <col min="15356" max="15356" width="23.5" style="62" customWidth="1"/>
    <col min="15357" max="15358" width="16.5" style="62" customWidth="1"/>
    <col min="15359" max="15359" width="18.375" style="62" customWidth="1"/>
    <col min="15360" max="15360" width="13.375" style="62" customWidth="1"/>
    <col min="15361" max="15361" width="11.375" style="62" customWidth="1"/>
    <col min="15362" max="15362" width="14.375" style="62" customWidth="1"/>
    <col min="15363" max="15363" width="16.625" style="62" customWidth="1"/>
    <col min="15364" max="15366" width="10" style="62" customWidth="1"/>
    <col min="15367" max="15368" width="10.625" style="62" customWidth="1"/>
    <col min="15369" max="15370" width="12.875" style="62" customWidth="1"/>
    <col min="15371" max="15371" width="15" style="62" customWidth="1"/>
    <col min="15372" max="15372" width="13.875" style="62" customWidth="1"/>
    <col min="15373" max="15373" width="12" style="62" customWidth="1"/>
    <col min="15374" max="15374" width="10.875" style="62" customWidth="1"/>
    <col min="15375" max="15375" width="18.375" style="62" customWidth="1"/>
    <col min="15376" max="15376" width="10.5" style="62" customWidth="1"/>
    <col min="15377" max="15608" width="9" style="62"/>
    <col min="15609" max="15609" width="13.125" style="62" customWidth="1"/>
    <col min="15610" max="15610" width="13.5" style="62" customWidth="1"/>
    <col min="15611" max="15611" width="21.625" style="62" customWidth="1"/>
    <col min="15612" max="15612" width="23.5" style="62" customWidth="1"/>
    <col min="15613" max="15614" width="16.5" style="62" customWidth="1"/>
    <col min="15615" max="15615" width="18.375" style="62" customWidth="1"/>
    <col min="15616" max="15616" width="13.375" style="62" customWidth="1"/>
    <col min="15617" max="15617" width="11.375" style="62" customWidth="1"/>
    <col min="15618" max="15618" width="14.375" style="62" customWidth="1"/>
    <col min="15619" max="15619" width="16.625" style="62" customWidth="1"/>
    <col min="15620" max="15622" width="10" style="62" customWidth="1"/>
    <col min="15623" max="15624" width="10.625" style="62" customWidth="1"/>
    <col min="15625" max="15626" width="12.875" style="62" customWidth="1"/>
    <col min="15627" max="15627" width="15" style="62" customWidth="1"/>
    <col min="15628" max="15628" width="13.875" style="62" customWidth="1"/>
    <col min="15629" max="15629" width="12" style="62" customWidth="1"/>
    <col min="15630" max="15630" width="10.875" style="62" customWidth="1"/>
    <col min="15631" max="15631" width="18.375" style="62" customWidth="1"/>
    <col min="15632" max="15632" width="10.5" style="62" customWidth="1"/>
    <col min="15633" max="15864" width="9" style="62"/>
    <col min="15865" max="15865" width="13.125" style="62" customWidth="1"/>
    <col min="15866" max="15866" width="13.5" style="62" customWidth="1"/>
    <col min="15867" max="15867" width="21.625" style="62" customWidth="1"/>
    <col min="15868" max="15868" width="23.5" style="62" customWidth="1"/>
    <col min="15869" max="15870" width="16.5" style="62" customWidth="1"/>
    <col min="15871" max="15871" width="18.375" style="62" customWidth="1"/>
    <col min="15872" max="15872" width="13.375" style="62" customWidth="1"/>
    <col min="15873" max="15873" width="11.375" style="62" customWidth="1"/>
    <col min="15874" max="15874" width="14.375" style="62" customWidth="1"/>
    <col min="15875" max="15875" width="16.625" style="62" customWidth="1"/>
    <col min="15876" max="15878" width="10" style="62" customWidth="1"/>
    <col min="15879" max="15880" width="10.625" style="62" customWidth="1"/>
    <col min="15881" max="15882" width="12.875" style="62" customWidth="1"/>
    <col min="15883" max="15883" width="15" style="62" customWidth="1"/>
    <col min="15884" max="15884" width="13.875" style="62" customWidth="1"/>
    <col min="15885" max="15885" width="12" style="62" customWidth="1"/>
    <col min="15886" max="15886" width="10.875" style="62" customWidth="1"/>
    <col min="15887" max="15887" width="18.375" style="62" customWidth="1"/>
    <col min="15888" max="15888" width="10.5" style="62" customWidth="1"/>
    <col min="15889" max="16120" width="9" style="62"/>
    <col min="16121" max="16121" width="13.125" style="62" customWidth="1"/>
    <col min="16122" max="16122" width="13.5" style="62" customWidth="1"/>
    <col min="16123" max="16123" width="21.625" style="62" customWidth="1"/>
    <col min="16124" max="16124" width="23.5" style="62" customWidth="1"/>
    <col min="16125" max="16126" width="16.5" style="62" customWidth="1"/>
    <col min="16127" max="16127" width="18.375" style="62" customWidth="1"/>
    <col min="16128" max="16128" width="13.375" style="62" customWidth="1"/>
    <col min="16129" max="16129" width="11.375" style="62" customWidth="1"/>
    <col min="16130" max="16130" width="14.375" style="62" customWidth="1"/>
    <col min="16131" max="16131" width="16.625" style="62" customWidth="1"/>
    <col min="16132" max="16134" width="10" style="62" customWidth="1"/>
    <col min="16135" max="16136" width="10.625" style="62" customWidth="1"/>
    <col min="16137" max="16138" width="12.875" style="62" customWidth="1"/>
    <col min="16139" max="16139" width="15" style="62" customWidth="1"/>
    <col min="16140" max="16140" width="13.875" style="62" customWidth="1"/>
    <col min="16141" max="16141" width="12" style="62" customWidth="1"/>
    <col min="16142" max="16142" width="10.875" style="62" customWidth="1"/>
    <col min="16143" max="16143" width="18.375" style="62" customWidth="1"/>
    <col min="16144" max="16144" width="10.5" style="62" customWidth="1"/>
    <col min="16145" max="16384" width="9" style="62"/>
  </cols>
  <sheetData>
    <row r="1" spans="1:19" s="3" customFormat="1" ht="37.5" x14ac:dyDescent="0.3">
      <c r="A1" s="1" t="s">
        <v>0</v>
      </c>
      <c r="B1" s="1"/>
      <c r="C1" s="2"/>
      <c r="G1" s="2"/>
      <c r="H1" s="4" t="s">
        <v>1</v>
      </c>
      <c r="K1" s="5" t="s">
        <v>2</v>
      </c>
      <c r="L1" s="6"/>
      <c r="S1" s="7"/>
    </row>
    <row r="2" spans="1:19" s="3" customFormat="1" ht="15.75" x14ac:dyDescent="0.2">
      <c r="A2" s="8" t="s">
        <v>3</v>
      </c>
      <c r="B2" s="8"/>
      <c r="C2" s="9"/>
      <c r="D2" s="9"/>
      <c r="E2" s="9"/>
      <c r="G2" s="9"/>
      <c r="H2" s="10" t="s">
        <v>4</v>
      </c>
      <c r="K2" s="11" t="s">
        <v>5</v>
      </c>
      <c r="L2" s="12" t="s">
        <v>6</v>
      </c>
      <c r="N2" s="9"/>
      <c r="O2" s="9"/>
      <c r="Q2" s="9"/>
      <c r="R2" s="9"/>
      <c r="S2" s="13"/>
    </row>
    <row r="3" spans="1:19" s="3" customFormat="1" x14ac:dyDescent="0.25">
      <c r="A3" s="8" t="s">
        <v>7</v>
      </c>
      <c r="B3" s="8"/>
      <c r="C3" s="9"/>
      <c r="D3" s="9"/>
      <c r="E3" s="9"/>
      <c r="F3" s="9"/>
      <c r="L3" s="9"/>
      <c r="N3" s="9"/>
      <c r="O3" s="9"/>
      <c r="Q3" s="9"/>
      <c r="R3" s="9"/>
      <c r="S3" s="13"/>
    </row>
    <row r="4" spans="1:19" s="3" customFormat="1" ht="13.5" thickBot="1" x14ac:dyDescent="0.3">
      <c r="A4" s="8"/>
      <c r="B4" s="8"/>
      <c r="C4" s="9"/>
      <c r="D4" s="9"/>
      <c r="E4" s="9"/>
      <c r="F4" s="9"/>
      <c r="L4" s="9"/>
      <c r="N4" s="9"/>
      <c r="O4" s="9"/>
      <c r="Q4" s="9"/>
      <c r="R4" s="9"/>
      <c r="S4" s="14"/>
    </row>
    <row r="5" spans="1:19" s="3" customFormat="1" ht="12.75" x14ac:dyDescent="0.2">
      <c r="A5" s="15" t="s">
        <v>8</v>
      </c>
      <c r="B5" s="15"/>
      <c r="C5" s="16" t="s">
        <v>9</v>
      </c>
      <c r="F5" s="17"/>
      <c r="G5" s="18"/>
      <c r="I5" s="19" t="s">
        <v>10</v>
      </c>
      <c r="J5" s="20"/>
      <c r="K5" s="21" t="s">
        <v>11</v>
      </c>
      <c r="L5" s="22" t="s">
        <v>12</v>
      </c>
      <c r="M5" s="23"/>
      <c r="N5" s="24"/>
      <c r="O5" s="25"/>
      <c r="S5" s="14"/>
    </row>
    <row r="6" spans="1:19" s="3" customFormat="1" ht="13.5" x14ac:dyDescent="0.25">
      <c r="A6" s="15" t="s">
        <v>13</v>
      </c>
      <c r="B6" s="15"/>
      <c r="C6" s="26" t="s">
        <v>14</v>
      </c>
      <c r="F6" s="18"/>
      <c r="G6" s="18"/>
      <c r="I6" s="20"/>
      <c r="J6" s="20"/>
      <c r="K6" s="27" t="s">
        <v>15</v>
      </c>
      <c r="L6" s="28"/>
      <c r="M6" s="29"/>
      <c r="N6" s="29"/>
      <c r="O6" s="30"/>
      <c r="S6" s="14"/>
    </row>
    <row r="7" spans="1:19" s="3" customFormat="1" ht="12.75" x14ac:dyDescent="0.2">
      <c r="A7" s="15" t="s">
        <v>16</v>
      </c>
      <c r="B7" s="15"/>
      <c r="C7" s="15" t="s">
        <v>17</v>
      </c>
      <c r="F7" s="18"/>
      <c r="G7" s="18"/>
      <c r="K7" s="27" t="s">
        <v>18</v>
      </c>
      <c r="L7" s="29"/>
      <c r="M7" s="29"/>
      <c r="N7" s="29"/>
      <c r="O7" s="30"/>
      <c r="S7" s="14"/>
    </row>
    <row r="8" spans="1:19" s="3" customFormat="1" ht="14.45" customHeight="1" x14ac:dyDescent="0.2">
      <c r="A8" s="15" t="s">
        <v>19</v>
      </c>
      <c r="B8" s="15"/>
      <c r="C8" s="31" t="s">
        <v>20</v>
      </c>
      <c r="F8" s="18"/>
      <c r="G8" s="18"/>
      <c r="K8" s="32" t="s">
        <v>21</v>
      </c>
      <c r="L8" s="29"/>
      <c r="M8" s="29"/>
      <c r="N8" s="29"/>
      <c r="O8" s="30"/>
      <c r="S8" s="33"/>
    </row>
    <row r="9" spans="1:19" s="3" customFormat="1" ht="13.9" customHeight="1" x14ac:dyDescent="0.2">
      <c r="A9" s="15" t="s">
        <v>22</v>
      </c>
      <c r="B9" s="15"/>
      <c r="C9" s="17" t="s">
        <v>23</v>
      </c>
      <c r="F9" s="18"/>
      <c r="G9" s="18"/>
      <c r="K9" s="32" t="s">
        <v>24</v>
      </c>
      <c r="L9" s="34"/>
      <c r="M9" s="29"/>
      <c r="N9" s="29"/>
      <c r="O9" s="30"/>
      <c r="S9" s="33"/>
    </row>
    <row r="10" spans="1:19" s="3" customFormat="1" ht="12.75" x14ac:dyDescent="0.2">
      <c r="A10" s="15" t="s">
        <v>25</v>
      </c>
      <c r="B10" s="15"/>
      <c r="C10" s="17" t="s">
        <v>26</v>
      </c>
      <c r="K10" s="35" t="s">
        <v>27</v>
      </c>
      <c r="L10" s="34"/>
      <c r="M10" s="36"/>
      <c r="N10" s="36"/>
      <c r="O10" s="37"/>
      <c r="S10" s="38"/>
    </row>
    <row r="11" spans="1:19" s="3" customFormat="1" ht="12.75" x14ac:dyDescent="0.2">
      <c r="A11" s="15" t="s">
        <v>28</v>
      </c>
      <c r="B11" s="15"/>
      <c r="C11" s="15" t="s">
        <v>29</v>
      </c>
      <c r="F11" s="18"/>
      <c r="K11" s="39" t="s">
        <v>30</v>
      </c>
      <c r="L11" s="40" t="s">
        <v>31</v>
      </c>
      <c r="M11" s="41" t="s">
        <v>32</v>
      </c>
      <c r="N11" s="41" t="s">
        <v>33</v>
      </c>
      <c r="O11" s="42" t="s">
        <v>34</v>
      </c>
      <c r="S11" s="38"/>
    </row>
    <row r="12" spans="1:19" s="3" customFormat="1" ht="12.75" x14ac:dyDescent="0.2">
      <c r="C12" s="15" t="s">
        <v>35</v>
      </c>
      <c r="F12" s="18"/>
      <c r="K12" s="39" t="s">
        <v>36</v>
      </c>
      <c r="L12" s="43"/>
      <c r="M12" s="44"/>
      <c r="N12" s="45"/>
      <c r="O12" s="46"/>
      <c r="S12" s="47"/>
    </row>
    <row r="13" spans="1:19" s="3" customFormat="1" ht="13.5" thickBot="1" x14ac:dyDescent="0.25">
      <c r="C13" s="15" t="s">
        <v>37</v>
      </c>
      <c r="F13" s="18"/>
      <c r="K13" s="48" t="s">
        <v>38</v>
      </c>
      <c r="L13" s="49"/>
      <c r="M13" s="50"/>
      <c r="N13" s="51"/>
      <c r="O13" s="52"/>
      <c r="S13" s="47"/>
    </row>
    <row r="14" spans="1:19" s="17" customFormat="1" ht="13.5" thickTop="1" x14ac:dyDescent="0.2">
      <c r="F14" s="18"/>
      <c r="G14" s="3"/>
      <c r="H14" s="3"/>
      <c r="K14" s="32" t="s">
        <v>39</v>
      </c>
      <c r="L14" s="53" t="s">
        <v>40</v>
      </c>
      <c r="M14" s="29"/>
      <c r="N14" s="29"/>
      <c r="O14" s="30"/>
      <c r="S14" s="47"/>
    </row>
    <row r="15" spans="1:19" s="17" customFormat="1" ht="14.25" customHeight="1" x14ac:dyDescent="0.2">
      <c r="F15" s="18"/>
      <c r="G15" s="3"/>
      <c r="H15" s="54"/>
      <c r="K15" s="32" t="s">
        <v>41</v>
      </c>
      <c r="L15" s="55" t="s">
        <v>40</v>
      </c>
      <c r="M15" s="29"/>
      <c r="N15" s="29"/>
      <c r="O15" s="30"/>
      <c r="Q15" s="54"/>
      <c r="R15" s="54"/>
      <c r="S15" s="47"/>
    </row>
    <row r="16" spans="1:19" s="57" customFormat="1" ht="12.75" x14ac:dyDescent="0.2">
      <c r="A16" s="15"/>
      <c r="B16" s="56"/>
      <c r="C16" s="15"/>
      <c r="D16" s="15"/>
      <c r="E16" s="15"/>
      <c r="F16" s="3"/>
      <c r="H16" s="57" t="s">
        <v>42</v>
      </c>
      <c r="K16" s="32" t="s">
        <v>43</v>
      </c>
      <c r="L16" s="58"/>
      <c r="M16" s="29"/>
      <c r="N16" s="29"/>
      <c r="O16" s="30"/>
      <c r="S16" s="59"/>
    </row>
    <row r="17" spans="1:19" ht="14.25" customHeight="1" x14ac:dyDescent="0.25">
      <c r="A17" s="47"/>
      <c r="B17" s="47"/>
      <c r="C17" s="59"/>
      <c r="D17" s="59"/>
      <c r="E17" s="59"/>
      <c r="F17" s="59"/>
      <c r="G17" s="59"/>
      <c r="H17" s="59"/>
      <c r="I17" s="59"/>
      <c r="J17" s="59"/>
      <c r="K17" s="32" t="s">
        <v>44</v>
      </c>
      <c r="L17" s="60"/>
      <c r="M17" s="29"/>
      <c r="N17" s="29"/>
      <c r="O17" s="30"/>
      <c r="P17" s="59"/>
      <c r="Q17" s="59"/>
      <c r="R17" s="59"/>
      <c r="S17" s="61"/>
    </row>
    <row r="18" spans="1:19" ht="14.25" customHeight="1" thickBot="1" x14ac:dyDescent="0.3">
      <c r="A18" s="47"/>
      <c r="B18" s="47"/>
      <c r="C18" s="59"/>
      <c r="D18" s="59"/>
      <c r="E18" s="59"/>
      <c r="F18" s="59"/>
      <c r="G18" s="59"/>
      <c r="H18" s="59"/>
      <c r="I18" s="59"/>
      <c r="J18" s="59"/>
      <c r="K18" s="63" t="s">
        <v>45</v>
      </c>
      <c r="L18" s="64"/>
      <c r="M18" s="65"/>
      <c r="N18" s="65"/>
      <c r="O18" s="66"/>
      <c r="P18" s="59"/>
      <c r="Q18" s="59"/>
      <c r="R18" s="59"/>
      <c r="S18" s="61"/>
    </row>
    <row r="19" spans="1:19" ht="16.899999999999999" customHeight="1" thickBot="1" x14ac:dyDescent="0.3">
      <c r="A19" s="47"/>
      <c r="B19" s="47"/>
      <c r="C19" s="59"/>
      <c r="D19" s="59"/>
      <c r="E19" s="59"/>
      <c r="F19" s="59"/>
      <c r="G19" s="59"/>
      <c r="H19" s="59"/>
      <c r="I19" s="67"/>
      <c r="J19" s="59"/>
      <c r="K19" s="59"/>
      <c r="L19" s="59"/>
      <c r="M19" s="59"/>
      <c r="N19" s="59"/>
      <c r="O19" s="59"/>
      <c r="P19" s="59"/>
      <c r="Q19" s="59"/>
      <c r="R19" s="59"/>
    </row>
    <row r="20" spans="1:19" ht="46.9" customHeight="1" thickBot="1" x14ac:dyDescent="0.3">
      <c r="A20" s="68" t="s">
        <v>46</v>
      </c>
      <c r="B20" s="68" t="s">
        <v>47</v>
      </c>
      <c r="C20" s="69" t="s">
        <v>48</v>
      </c>
      <c r="D20" s="69" t="s">
        <v>49</v>
      </c>
      <c r="E20" s="70" t="s">
        <v>50</v>
      </c>
      <c r="F20" s="71" t="s">
        <v>51</v>
      </c>
      <c r="G20" s="72" t="s">
        <v>52</v>
      </c>
      <c r="H20" s="68" t="s">
        <v>53</v>
      </c>
      <c r="I20" s="68" t="s">
        <v>54</v>
      </c>
      <c r="J20" s="68" t="s">
        <v>55</v>
      </c>
      <c r="K20" s="68" t="s">
        <v>56</v>
      </c>
      <c r="L20" s="68" t="s">
        <v>57</v>
      </c>
      <c r="M20" s="68" t="s">
        <v>58</v>
      </c>
      <c r="N20" s="68" t="s">
        <v>59</v>
      </c>
      <c r="O20" s="68" t="s">
        <v>60</v>
      </c>
      <c r="P20" s="68" t="s">
        <v>61</v>
      </c>
      <c r="Q20" s="68" t="s">
        <v>62</v>
      </c>
      <c r="R20" s="68" t="s">
        <v>63</v>
      </c>
      <c r="S20" s="68" t="s">
        <v>64</v>
      </c>
    </row>
    <row r="21" spans="1:19" s="84" customFormat="1" ht="29.25" customHeight="1" thickBot="1" x14ac:dyDescent="0.25">
      <c r="A21" s="73">
        <v>1097436</v>
      </c>
      <c r="B21" s="74" t="s">
        <v>65</v>
      </c>
      <c r="C21" s="75" t="s">
        <v>66</v>
      </c>
      <c r="D21" s="76" t="s">
        <v>67</v>
      </c>
      <c r="E21" s="77" t="s">
        <v>68</v>
      </c>
      <c r="F21" s="78" t="s">
        <v>69</v>
      </c>
      <c r="G21" s="79" t="s">
        <v>70</v>
      </c>
      <c r="H21" s="80" t="s">
        <v>71</v>
      </c>
      <c r="I21" s="81" t="s">
        <v>72</v>
      </c>
      <c r="J21" s="82">
        <v>80</v>
      </c>
      <c r="K21" s="82"/>
      <c r="L21" s="82"/>
      <c r="M21" s="80" t="s">
        <v>71</v>
      </c>
      <c r="N21" s="82">
        <v>80</v>
      </c>
      <c r="O21" s="82">
        <v>11.7</v>
      </c>
      <c r="P21" s="80">
        <f t="shared" ref="P21:P78" si="0">O21*M21</f>
        <v>11.7</v>
      </c>
      <c r="Q21" s="82">
        <v>10.6</v>
      </c>
      <c r="R21" s="80">
        <f t="shared" ref="R21:R78" si="1">Q21*M21</f>
        <v>10.6</v>
      </c>
      <c r="S21" s="83" t="s">
        <v>73</v>
      </c>
    </row>
    <row r="22" spans="1:19" s="84" customFormat="1" ht="29.25" customHeight="1" thickBot="1" x14ac:dyDescent="0.25">
      <c r="A22" s="73">
        <v>1097436</v>
      </c>
      <c r="B22" s="74" t="s">
        <v>65</v>
      </c>
      <c r="C22" s="75" t="s">
        <v>66</v>
      </c>
      <c r="D22" s="76" t="s">
        <v>67</v>
      </c>
      <c r="E22" s="77" t="s">
        <v>68</v>
      </c>
      <c r="F22" s="78" t="s">
        <v>69</v>
      </c>
      <c r="G22" s="79" t="s">
        <v>70</v>
      </c>
      <c r="H22" s="85" t="s">
        <v>74</v>
      </c>
      <c r="I22" s="81" t="s">
        <v>72</v>
      </c>
      <c r="J22" s="82">
        <v>80</v>
      </c>
      <c r="K22" s="82"/>
      <c r="L22" s="82"/>
      <c r="M22" s="80" t="s">
        <v>71</v>
      </c>
      <c r="N22" s="82">
        <v>80</v>
      </c>
      <c r="O22" s="82">
        <v>11.7</v>
      </c>
      <c r="P22" s="80">
        <f t="shared" si="0"/>
        <v>11.7</v>
      </c>
      <c r="Q22" s="82">
        <v>10.6</v>
      </c>
      <c r="R22" s="80">
        <f t="shared" si="1"/>
        <v>10.6</v>
      </c>
      <c r="S22" s="83" t="s">
        <v>73</v>
      </c>
    </row>
    <row r="23" spans="1:19" s="84" customFormat="1" ht="29.25" customHeight="1" thickBot="1" x14ac:dyDescent="0.25">
      <c r="A23" s="73">
        <v>1097436</v>
      </c>
      <c r="B23" s="74" t="s">
        <v>65</v>
      </c>
      <c r="C23" s="75" t="s">
        <v>66</v>
      </c>
      <c r="D23" s="76" t="s">
        <v>67</v>
      </c>
      <c r="E23" s="77" t="s">
        <v>68</v>
      </c>
      <c r="F23" s="78" t="s">
        <v>69</v>
      </c>
      <c r="G23" s="79" t="s">
        <v>70</v>
      </c>
      <c r="H23" s="85" t="s">
        <v>75</v>
      </c>
      <c r="I23" s="81" t="s">
        <v>72</v>
      </c>
      <c r="J23" s="82">
        <v>80</v>
      </c>
      <c r="K23" s="82"/>
      <c r="L23" s="82"/>
      <c r="M23" s="80" t="s">
        <v>71</v>
      </c>
      <c r="N23" s="82">
        <v>80</v>
      </c>
      <c r="O23" s="82">
        <v>11.7</v>
      </c>
      <c r="P23" s="80">
        <f t="shared" si="0"/>
        <v>11.7</v>
      </c>
      <c r="Q23" s="82">
        <v>10.6</v>
      </c>
      <c r="R23" s="80">
        <f t="shared" si="1"/>
        <v>10.6</v>
      </c>
      <c r="S23" s="83" t="s">
        <v>73</v>
      </c>
    </row>
    <row r="24" spans="1:19" s="84" customFormat="1" ht="29.25" customHeight="1" thickBot="1" x14ac:dyDescent="0.25">
      <c r="A24" s="73">
        <v>1097436</v>
      </c>
      <c r="B24" s="74" t="s">
        <v>65</v>
      </c>
      <c r="C24" s="75" t="s">
        <v>66</v>
      </c>
      <c r="D24" s="76" t="s">
        <v>67</v>
      </c>
      <c r="E24" s="77" t="s">
        <v>68</v>
      </c>
      <c r="F24" s="78" t="s">
        <v>69</v>
      </c>
      <c r="G24" s="79" t="s">
        <v>70</v>
      </c>
      <c r="H24" s="85" t="s">
        <v>76</v>
      </c>
      <c r="I24" s="81" t="s">
        <v>72</v>
      </c>
      <c r="J24" s="82">
        <v>80</v>
      </c>
      <c r="K24" s="82"/>
      <c r="L24" s="82"/>
      <c r="M24" s="80" t="s">
        <v>71</v>
      </c>
      <c r="N24" s="82">
        <v>80</v>
      </c>
      <c r="O24" s="82">
        <v>11.7</v>
      </c>
      <c r="P24" s="80">
        <f t="shared" si="0"/>
        <v>11.7</v>
      </c>
      <c r="Q24" s="82">
        <v>10.6</v>
      </c>
      <c r="R24" s="80">
        <f t="shared" si="1"/>
        <v>10.6</v>
      </c>
      <c r="S24" s="83" t="s">
        <v>73</v>
      </c>
    </row>
    <row r="25" spans="1:19" s="84" customFormat="1" ht="29.25" customHeight="1" thickBot="1" x14ac:dyDescent="0.25">
      <c r="A25" s="73">
        <v>1097436</v>
      </c>
      <c r="B25" s="74" t="s">
        <v>65</v>
      </c>
      <c r="C25" s="75" t="s">
        <v>66</v>
      </c>
      <c r="D25" s="76" t="s">
        <v>67</v>
      </c>
      <c r="E25" s="77" t="s">
        <v>68</v>
      </c>
      <c r="F25" s="78" t="s">
        <v>69</v>
      </c>
      <c r="G25" s="79" t="s">
        <v>70</v>
      </c>
      <c r="H25" s="85" t="s">
        <v>77</v>
      </c>
      <c r="I25" s="81" t="s">
        <v>72</v>
      </c>
      <c r="J25" s="82">
        <v>80</v>
      </c>
      <c r="K25" s="82"/>
      <c r="L25" s="82"/>
      <c r="M25" s="80" t="s">
        <v>71</v>
      </c>
      <c r="N25" s="82">
        <v>80</v>
      </c>
      <c r="O25" s="82">
        <v>11.7</v>
      </c>
      <c r="P25" s="80">
        <f t="shared" si="0"/>
        <v>11.7</v>
      </c>
      <c r="Q25" s="82">
        <v>10.6</v>
      </c>
      <c r="R25" s="80">
        <f t="shared" si="1"/>
        <v>10.6</v>
      </c>
      <c r="S25" s="83" t="s">
        <v>73</v>
      </c>
    </row>
    <row r="26" spans="1:19" s="84" customFormat="1" ht="29.25" customHeight="1" thickBot="1" x14ac:dyDescent="0.25">
      <c r="A26" s="73">
        <v>1097436</v>
      </c>
      <c r="B26" s="74" t="s">
        <v>65</v>
      </c>
      <c r="C26" s="75" t="s">
        <v>66</v>
      </c>
      <c r="D26" s="76" t="s">
        <v>67</v>
      </c>
      <c r="E26" s="77" t="s">
        <v>68</v>
      </c>
      <c r="F26" s="78" t="s">
        <v>69</v>
      </c>
      <c r="G26" s="79" t="s">
        <v>70</v>
      </c>
      <c r="H26" s="85" t="s">
        <v>78</v>
      </c>
      <c r="I26" s="81" t="s">
        <v>72</v>
      </c>
      <c r="J26" s="82">
        <v>80</v>
      </c>
      <c r="K26" s="82"/>
      <c r="L26" s="82"/>
      <c r="M26" s="80" t="s">
        <v>71</v>
      </c>
      <c r="N26" s="82">
        <v>80</v>
      </c>
      <c r="O26" s="82">
        <v>11.7</v>
      </c>
      <c r="P26" s="80">
        <f t="shared" si="0"/>
        <v>11.7</v>
      </c>
      <c r="Q26" s="82">
        <v>10.6</v>
      </c>
      <c r="R26" s="80">
        <f t="shared" si="1"/>
        <v>10.6</v>
      </c>
      <c r="S26" s="83" t="s">
        <v>73</v>
      </c>
    </row>
    <row r="27" spans="1:19" s="84" customFormat="1" ht="29.25" customHeight="1" thickBot="1" x14ac:dyDescent="0.25">
      <c r="A27" s="73">
        <v>1097436</v>
      </c>
      <c r="B27" s="74" t="s">
        <v>65</v>
      </c>
      <c r="C27" s="75" t="s">
        <v>66</v>
      </c>
      <c r="D27" s="76" t="s">
        <v>67</v>
      </c>
      <c r="E27" s="77" t="s">
        <v>68</v>
      </c>
      <c r="F27" s="78" t="s">
        <v>69</v>
      </c>
      <c r="G27" s="79" t="s">
        <v>70</v>
      </c>
      <c r="H27" s="85" t="s">
        <v>79</v>
      </c>
      <c r="I27" s="81" t="s">
        <v>72</v>
      </c>
      <c r="J27" s="82">
        <v>80</v>
      </c>
      <c r="K27" s="82"/>
      <c r="L27" s="82"/>
      <c r="M27" s="80" t="s">
        <v>71</v>
      </c>
      <c r="N27" s="82">
        <v>80</v>
      </c>
      <c r="O27" s="82">
        <v>11.7</v>
      </c>
      <c r="P27" s="80">
        <f t="shared" si="0"/>
        <v>11.7</v>
      </c>
      <c r="Q27" s="82">
        <v>10.6</v>
      </c>
      <c r="R27" s="80">
        <f t="shared" si="1"/>
        <v>10.6</v>
      </c>
      <c r="S27" s="83" t="s">
        <v>73</v>
      </c>
    </row>
    <row r="28" spans="1:19" s="84" customFormat="1" ht="29.25" customHeight="1" thickBot="1" x14ac:dyDescent="0.25">
      <c r="A28" s="73">
        <v>1097436</v>
      </c>
      <c r="B28" s="74" t="s">
        <v>65</v>
      </c>
      <c r="C28" s="75" t="s">
        <v>66</v>
      </c>
      <c r="D28" s="76" t="s">
        <v>67</v>
      </c>
      <c r="E28" s="77" t="s">
        <v>68</v>
      </c>
      <c r="F28" s="78" t="s">
        <v>69</v>
      </c>
      <c r="G28" s="79" t="s">
        <v>70</v>
      </c>
      <c r="H28" s="85" t="s">
        <v>80</v>
      </c>
      <c r="I28" s="81" t="s">
        <v>72</v>
      </c>
      <c r="J28" s="82">
        <v>80</v>
      </c>
      <c r="K28" s="82"/>
      <c r="L28" s="82"/>
      <c r="M28" s="80" t="s">
        <v>71</v>
      </c>
      <c r="N28" s="82">
        <v>80</v>
      </c>
      <c r="O28" s="82">
        <v>11.7</v>
      </c>
      <c r="P28" s="80">
        <f t="shared" si="0"/>
        <v>11.7</v>
      </c>
      <c r="Q28" s="82">
        <v>10.6</v>
      </c>
      <c r="R28" s="80">
        <f t="shared" si="1"/>
        <v>10.6</v>
      </c>
      <c r="S28" s="83" t="s">
        <v>73</v>
      </c>
    </row>
    <row r="29" spans="1:19" s="84" customFormat="1" ht="29.25" customHeight="1" thickBot="1" x14ac:dyDescent="0.25">
      <c r="A29" s="73">
        <v>1097436</v>
      </c>
      <c r="B29" s="74" t="s">
        <v>65</v>
      </c>
      <c r="C29" s="75" t="s">
        <v>66</v>
      </c>
      <c r="D29" s="76" t="s">
        <v>67</v>
      </c>
      <c r="E29" s="77" t="s">
        <v>68</v>
      </c>
      <c r="F29" s="78" t="s">
        <v>69</v>
      </c>
      <c r="G29" s="79" t="s">
        <v>70</v>
      </c>
      <c r="H29" s="85" t="s">
        <v>81</v>
      </c>
      <c r="I29" s="81" t="s">
        <v>72</v>
      </c>
      <c r="J29" s="82">
        <v>80</v>
      </c>
      <c r="K29" s="82"/>
      <c r="L29" s="82"/>
      <c r="M29" s="80" t="s">
        <v>71</v>
      </c>
      <c r="N29" s="82">
        <v>80</v>
      </c>
      <c r="O29" s="82">
        <v>11.7</v>
      </c>
      <c r="P29" s="80">
        <f t="shared" si="0"/>
        <v>11.7</v>
      </c>
      <c r="Q29" s="82">
        <v>10.6</v>
      </c>
      <c r="R29" s="80">
        <f t="shared" si="1"/>
        <v>10.6</v>
      </c>
      <c r="S29" s="83" t="s">
        <v>73</v>
      </c>
    </row>
    <row r="30" spans="1:19" s="84" customFormat="1" ht="29.25" customHeight="1" thickBot="1" x14ac:dyDescent="0.25">
      <c r="A30" s="73">
        <v>1097436</v>
      </c>
      <c r="B30" s="74" t="s">
        <v>65</v>
      </c>
      <c r="C30" s="75" t="s">
        <v>66</v>
      </c>
      <c r="D30" s="76" t="s">
        <v>67</v>
      </c>
      <c r="E30" s="77" t="s">
        <v>68</v>
      </c>
      <c r="F30" s="78" t="s">
        <v>69</v>
      </c>
      <c r="G30" s="79" t="s">
        <v>70</v>
      </c>
      <c r="H30" s="85" t="s">
        <v>82</v>
      </c>
      <c r="I30" s="81" t="s">
        <v>72</v>
      </c>
      <c r="J30" s="82">
        <v>80</v>
      </c>
      <c r="K30" s="82"/>
      <c r="L30" s="82"/>
      <c r="M30" s="80" t="s">
        <v>71</v>
      </c>
      <c r="N30" s="82">
        <v>80</v>
      </c>
      <c r="O30" s="82">
        <v>11.7</v>
      </c>
      <c r="P30" s="80">
        <f t="shared" si="0"/>
        <v>11.7</v>
      </c>
      <c r="Q30" s="82">
        <v>10.6</v>
      </c>
      <c r="R30" s="80">
        <f t="shared" si="1"/>
        <v>10.6</v>
      </c>
      <c r="S30" s="83" t="s">
        <v>73</v>
      </c>
    </row>
    <row r="31" spans="1:19" s="84" customFormat="1" ht="28.15" customHeight="1" thickBot="1" x14ac:dyDescent="0.25">
      <c r="A31" s="73">
        <v>1097436</v>
      </c>
      <c r="B31" s="74" t="s">
        <v>65</v>
      </c>
      <c r="C31" s="75" t="s">
        <v>66</v>
      </c>
      <c r="D31" s="76" t="s">
        <v>67</v>
      </c>
      <c r="E31" s="77" t="s">
        <v>83</v>
      </c>
      <c r="F31" s="78" t="s">
        <v>69</v>
      </c>
      <c r="G31" s="79" t="s">
        <v>70</v>
      </c>
      <c r="H31" s="80" t="s">
        <v>84</v>
      </c>
      <c r="I31" s="81" t="s">
        <v>85</v>
      </c>
      <c r="J31" s="82"/>
      <c r="K31" s="82">
        <v>80</v>
      </c>
      <c r="L31" s="82"/>
      <c r="M31" s="80" t="s">
        <v>71</v>
      </c>
      <c r="N31" s="82">
        <v>80</v>
      </c>
      <c r="O31" s="82">
        <v>12.07</v>
      </c>
      <c r="P31" s="82">
        <f t="shared" si="0"/>
        <v>12.07</v>
      </c>
      <c r="Q31" s="82">
        <v>11</v>
      </c>
      <c r="R31" s="80">
        <f t="shared" si="1"/>
        <v>11</v>
      </c>
      <c r="S31" s="83" t="s">
        <v>73</v>
      </c>
    </row>
    <row r="32" spans="1:19" s="84" customFormat="1" ht="28.15" customHeight="1" thickBot="1" x14ac:dyDescent="0.25">
      <c r="A32" s="73">
        <v>1097436</v>
      </c>
      <c r="B32" s="74" t="s">
        <v>65</v>
      </c>
      <c r="C32" s="75" t="s">
        <v>66</v>
      </c>
      <c r="D32" s="76" t="s">
        <v>67</v>
      </c>
      <c r="E32" s="77" t="s">
        <v>83</v>
      </c>
      <c r="F32" s="78" t="s">
        <v>69</v>
      </c>
      <c r="G32" s="79" t="s">
        <v>70</v>
      </c>
      <c r="H32" s="86" t="s">
        <v>86</v>
      </c>
      <c r="I32" s="81" t="s">
        <v>85</v>
      </c>
      <c r="J32" s="82"/>
      <c r="K32" s="82">
        <v>80</v>
      </c>
      <c r="L32" s="82"/>
      <c r="M32" s="80" t="s">
        <v>71</v>
      </c>
      <c r="N32" s="82">
        <v>80</v>
      </c>
      <c r="O32" s="82">
        <v>12.07</v>
      </c>
      <c r="P32" s="82">
        <f t="shared" si="0"/>
        <v>12.07</v>
      </c>
      <c r="Q32" s="82">
        <v>11</v>
      </c>
      <c r="R32" s="80">
        <f t="shared" si="1"/>
        <v>11</v>
      </c>
      <c r="S32" s="83" t="s">
        <v>73</v>
      </c>
    </row>
    <row r="33" spans="1:19" s="84" customFormat="1" ht="28.15" customHeight="1" thickBot="1" x14ac:dyDescent="0.25">
      <c r="A33" s="73">
        <v>1097436</v>
      </c>
      <c r="B33" s="74" t="s">
        <v>65</v>
      </c>
      <c r="C33" s="75" t="s">
        <v>66</v>
      </c>
      <c r="D33" s="76" t="s">
        <v>67</v>
      </c>
      <c r="E33" s="77" t="s">
        <v>83</v>
      </c>
      <c r="F33" s="78" t="s">
        <v>69</v>
      </c>
      <c r="G33" s="79" t="s">
        <v>70</v>
      </c>
      <c r="H33" s="86" t="s">
        <v>87</v>
      </c>
      <c r="I33" s="81" t="s">
        <v>85</v>
      </c>
      <c r="J33" s="82"/>
      <c r="K33" s="82">
        <v>80</v>
      </c>
      <c r="L33" s="82"/>
      <c r="M33" s="80" t="s">
        <v>71</v>
      </c>
      <c r="N33" s="82">
        <v>80</v>
      </c>
      <c r="O33" s="82">
        <v>12.07</v>
      </c>
      <c r="P33" s="82">
        <f t="shared" si="0"/>
        <v>12.07</v>
      </c>
      <c r="Q33" s="82">
        <v>11</v>
      </c>
      <c r="R33" s="80">
        <f t="shared" si="1"/>
        <v>11</v>
      </c>
      <c r="S33" s="83" t="s">
        <v>73</v>
      </c>
    </row>
    <row r="34" spans="1:19" s="84" customFormat="1" ht="28.15" customHeight="1" thickBot="1" x14ac:dyDescent="0.25">
      <c r="A34" s="73">
        <v>1097436</v>
      </c>
      <c r="B34" s="74" t="s">
        <v>65</v>
      </c>
      <c r="C34" s="75" t="s">
        <v>66</v>
      </c>
      <c r="D34" s="76" t="s">
        <v>67</v>
      </c>
      <c r="E34" s="77" t="s">
        <v>83</v>
      </c>
      <c r="F34" s="78" t="s">
        <v>69</v>
      </c>
      <c r="G34" s="79" t="s">
        <v>70</v>
      </c>
      <c r="H34" s="86" t="s">
        <v>88</v>
      </c>
      <c r="I34" s="81" t="s">
        <v>85</v>
      </c>
      <c r="J34" s="82"/>
      <c r="K34" s="82">
        <v>80</v>
      </c>
      <c r="L34" s="82"/>
      <c r="M34" s="80" t="s">
        <v>71</v>
      </c>
      <c r="N34" s="82">
        <v>80</v>
      </c>
      <c r="O34" s="82">
        <v>12.07</v>
      </c>
      <c r="P34" s="82">
        <f t="shared" si="0"/>
        <v>12.07</v>
      </c>
      <c r="Q34" s="82">
        <v>11</v>
      </c>
      <c r="R34" s="80">
        <f t="shared" si="1"/>
        <v>11</v>
      </c>
      <c r="S34" s="83" t="s">
        <v>73</v>
      </c>
    </row>
    <row r="35" spans="1:19" s="84" customFormat="1" ht="28.15" customHeight="1" thickBot="1" x14ac:dyDescent="0.25">
      <c r="A35" s="73">
        <v>1097436</v>
      </c>
      <c r="B35" s="74" t="s">
        <v>65</v>
      </c>
      <c r="C35" s="75" t="s">
        <v>66</v>
      </c>
      <c r="D35" s="76" t="s">
        <v>67</v>
      </c>
      <c r="E35" s="77" t="s">
        <v>83</v>
      </c>
      <c r="F35" s="78" t="s">
        <v>69</v>
      </c>
      <c r="G35" s="79" t="s">
        <v>70</v>
      </c>
      <c r="H35" s="86" t="s">
        <v>89</v>
      </c>
      <c r="I35" s="81" t="s">
        <v>85</v>
      </c>
      <c r="J35" s="82"/>
      <c r="K35" s="82">
        <v>80</v>
      </c>
      <c r="L35" s="82"/>
      <c r="M35" s="80" t="s">
        <v>71</v>
      </c>
      <c r="N35" s="82">
        <v>80</v>
      </c>
      <c r="O35" s="82">
        <v>12.07</v>
      </c>
      <c r="P35" s="82">
        <f t="shared" si="0"/>
        <v>12.07</v>
      </c>
      <c r="Q35" s="82">
        <v>11</v>
      </c>
      <c r="R35" s="80">
        <f t="shared" si="1"/>
        <v>11</v>
      </c>
      <c r="S35" s="83" t="s">
        <v>73</v>
      </c>
    </row>
    <row r="36" spans="1:19" s="84" customFormat="1" ht="28.15" customHeight="1" thickBot="1" x14ac:dyDescent="0.25">
      <c r="A36" s="73">
        <v>1097436</v>
      </c>
      <c r="B36" s="74" t="s">
        <v>65</v>
      </c>
      <c r="C36" s="75" t="s">
        <v>66</v>
      </c>
      <c r="D36" s="76" t="s">
        <v>67</v>
      </c>
      <c r="E36" s="77" t="s">
        <v>83</v>
      </c>
      <c r="F36" s="78" t="s">
        <v>69</v>
      </c>
      <c r="G36" s="79" t="s">
        <v>70</v>
      </c>
      <c r="H36" s="86" t="s">
        <v>90</v>
      </c>
      <c r="I36" s="81" t="s">
        <v>85</v>
      </c>
      <c r="J36" s="82"/>
      <c r="K36" s="82">
        <v>80</v>
      </c>
      <c r="L36" s="82"/>
      <c r="M36" s="80" t="s">
        <v>71</v>
      </c>
      <c r="N36" s="82">
        <v>80</v>
      </c>
      <c r="O36" s="82">
        <v>12.07</v>
      </c>
      <c r="P36" s="82">
        <f t="shared" si="0"/>
        <v>12.07</v>
      </c>
      <c r="Q36" s="82">
        <v>11</v>
      </c>
      <c r="R36" s="80">
        <f t="shared" si="1"/>
        <v>11</v>
      </c>
      <c r="S36" s="83" t="s">
        <v>73</v>
      </c>
    </row>
    <row r="37" spans="1:19" s="84" customFormat="1" ht="28.15" customHeight="1" thickBot="1" x14ac:dyDescent="0.25">
      <c r="A37" s="73">
        <v>1097436</v>
      </c>
      <c r="B37" s="74" t="s">
        <v>65</v>
      </c>
      <c r="C37" s="75" t="s">
        <v>66</v>
      </c>
      <c r="D37" s="76" t="s">
        <v>67</v>
      </c>
      <c r="E37" s="77" t="s">
        <v>83</v>
      </c>
      <c r="F37" s="78" t="s">
        <v>69</v>
      </c>
      <c r="G37" s="79" t="s">
        <v>70</v>
      </c>
      <c r="H37" s="86" t="s">
        <v>91</v>
      </c>
      <c r="I37" s="81" t="s">
        <v>85</v>
      </c>
      <c r="J37" s="82"/>
      <c r="K37" s="82">
        <v>80</v>
      </c>
      <c r="L37" s="82"/>
      <c r="M37" s="80" t="s">
        <v>71</v>
      </c>
      <c r="N37" s="82">
        <v>80</v>
      </c>
      <c r="O37" s="82">
        <v>12.07</v>
      </c>
      <c r="P37" s="82">
        <f t="shared" si="0"/>
        <v>12.07</v>
      </c>
      <c r="Q37" s="82">
        <v>11</v>
      </c>
      <c r="R37" s="80">
        <f t="shared" si="1"/>
        <v>11</v>
      </c>
      <c r="S37" s="83" t="s">
        <v>73</v>
      </c>
    </row>
    <row r="38" spans="1:19" s="84" customFormat="1" ht="28.15" customHeight="1" thickBot="1" x14ac:dyDescent="0.25">
      <c r="A38" s="73">
        <v>1097436</v>
      </c>
      <c r="B38" s="74" t="s">
        <v>65</v>
      </c>
      <c r="C38" s="75" t="s">
        <v>66</v>
      </c>
      <c r="D38" s="76" t="s">
        <v>67</v>
      </c>
      <c r="E38" s="77" t="s">
        <v>83</v>
      </c>
      <c r="F38" s="78" t="s">
        <v>69</v>
      </c>
      <c r="G38" s="79" t="s">
        <v>70</v>
      </c>
      <c r="H38" s="86" t="s">
        <v>92</v>
      </c>
      <c r="I38" s="81" t="s">
        <v>85</v>
      </c>
      <c r="J38" s="82"/>
      <c r="K38" s="82">
        <v>80</v>
      </c>
      <c r="L38" s="82"/>
      <c r="M38" s="80" t="s">
        <v>71</v>
      </c>
      <c r="N38" s="82">
        <v>80</v>
      </c>
      <c r="O38" s="82">
        <v>12.07</v>
      </c>
      <c r="P38" s="82">
        <f t="shared" si="0"/>
        <v>12.07</v>
      </c>
      <c r="Q38" s="82">
        <v>11</v>
      </c>
      <c r="R38" s="80">
        <f t="shared" si="1"/>
        <v>11</v>
      </c>
      <c r="S38" s="83" t="s">
        <v>73</v>
      </c>
    </row>
    <row r="39" spans="1:19" s="84" customFormat="1" ht="28.15" customHeight="1" thickBot="1" x14ac:dyDescent="0.25">
      <c r="A39" s="73">
        <v>1097436</v>
      </c>
      <c r="B39" s="74" t="s">
        <v>65</v>
      </c>
      <c r="C39" s="75" t="s">
        <v>66</v>
      </c>
      <c r="D39" s="76" t="s">
        <v>67</v>
      </c>
      <c r="E39" s="77" t="s">
        <v>83</v>
      </c>
      <c r="F39" s="78" t="s">
        <v>69</v>
      </c>
      <c r="G39" s="79" t="s">
        <v>70</v>
      </c>
      <c r="H39" s="86" t="s">
        <v>93</v>
      </c>
      <c r="I39" s="81" t="s">
        <v>85</v>
      </c>
      <c r="J39" s="82"/>
      <c r="K39" s="82">
        <v>80</v>
      </c>
      <c r="L39" s="82"/>
      <c r="M39" s="80" t="s">
        <v>71</v>
      </c>
      <c r="N39" s="82">
        <v>80</v>
      </c>
      <c r="O39" s="82">
        <v>12.07</v>
      </c>
      <c r="P39" s="82">
        <f t="shared" si="0"/>
        <v>12.07</v>
      </c>
      <c r="Q39" s="82">
        <v>11</v>
      </c>
      <c r="R39" s="80">
        <f t="shared" si="1"/>
        <v>11</v>
      </c>
      <c r="S39" s="83" t="s">
        <v>73</v>
      </c>
    </row>
    <row r="40" spans="1:19" s="84" customFormat="1" ht="28.15" customHeight="1" thickBot="1" x14ac:dyDescent="0.25">
      <c r="A40" s="73">
        <v>1097436</v>
      </c>
      <c r="B40" s="74" t="s">
        <v>65</v>
      </c>
      <c r="C40" s="75" t="s">
        <v>66</v>
      </c>
      <c r="D40" s="76" t="s">
        <v>67</v>
      </c>
      <c r="E40" s="77" t="s">
        <v>83</v>
      </c>
      <c r="F40" s="78" t="s">
        <v>69</v>
      </c>
      <c r="G40" s="79" t="s">
        <v>70</v>
      </c>
      <c r="H40" s="86" t="s">
        <v>94</v>
      </c>
      <c r="I40" s="81" t="s">
        <v>85</v>
      </c>
      <c r="J40" s="82"/>
      <c r="K40" s="82">
        <v>80</v>
      </c>
      <c r="L40" s="82"/>
      <c r="M40" s="80" t="s">
        <v>71</v>
      </c>
      <c r="N40" s="82">
        <v>80</v>
      </c>
      <c r="O40" s="82">
        <v>12.07</v>
      </c>
      <c r="P40" s="82">
        <f t="shared" si="0"/>
        <v>12.07</v>
      </c>
      <c r="Q40" s="82">
        <v>11</v>
      </c>
      <c r="R40" s="80">
        <f t="shared" si="1"/>
        <v>11</v>
      </c>
      <c r="S40" s="83" t="s">
        <v>73</v>
      </c>
    </row>
    <row r="41" spans="1:19" s="84" customFormat="1" ht="29.25" customHeight="1" thickBot="1" x14ac:dyDescent="0.25">
      <c r="A41" s="73">
        <v>1097436</v>
      </c>
      <c r="B41" s="74" t="s">
        <v>65</v>
      </c>
      <c r="C41" s="75" t="s">
        <v>66</v>
      </c>
      <c r="D41" s="76" t="s">
        <v>67</v>
      </c>
      <c r="E41" s="77" t="s">
        <v>95</v>
      </c>
      <c r="F41" s="78" t="s">
        <v>69</v>
      </c>
      <c r="G41" s="79" t="s">
        <v>70</v>
      </c>
      <c r="H41" s="80" t="s">
        <v>96</v>
      </c>
      <c r="I41" s="87" t="s">
        <v>97</v>
      </c>
      <c r="J41" s="82"/>
      <c r="K41" s="82"/>
      <c r="L41" s="82">
        <v>80</v>
      </c>
      <c r="M41" s="80" t="s">
        <v>71</v>
      </c>
      <c r="N41" s="82">
        <v>80</v>
      </c>
      <c r="O41" s="82">
        <v>12.4</v>
      </c>
      <c r="P41" s="82">
        <f t="shared" si="0"/>
        <v>12.4</v>
      </c>
      <c r="Q41" s="82">
        <v>11.3</v>
      </c>
      <c r="R41" s="80">
        <f t="shared" si="1"/>
        <v>11.3</v>
      </c>
      <c r="S41" s="83" t="s">
        <v>73</v>
      </c>
    </row>
    <row r="42" spans="1:19" s="84" customFormat="1" ht="29.25" customHeight="1" thickBot="1" x14ac:dyDescent="0.25">
      <c r="A42" s="73">
        <v>1097436</v>
      </c>
      <c r="B42" s="74" t="s">
        <v>65</v>
      </c>
      <c r="C42" s="75" t="s">
        <v>66</v>
      </c>
      <c r="D42" s="76" t="s">
        <v>67</v>
      </c>
      <c r="E42" s="77" t="s">
        <v>95</v>
      </c>
      <c r="F42" s="78" t="s">
        <v>69</v>
      </c>
      <c r="G42" s="79" t="s">
        <v>70</v>
      </c>
      <c r="H42" s="88" t="s">
        <v>98</v>
      </c>
      <c r="I42" s="81" t="s">
        <v>97</v>
      </c>
      <c r="J42" s="82"/>
      <c r="K42" s="82"/>
      <c r="L42" s="82">
        <v>80</v>
      </c>
      <c r="M42" s="80" t="s">
        <v>71</v>
      </c>
      <c r="N42" s="82">
        <v>80</v>
      </c>
      <c r="O42" s="82">
        <v>12.4</v>
      </c>
      <c r="P42" s="82">
        <f t="shared" si="0"/>
        <v>12.4</v>
      </c>
      <c r="Q42" s="82">
        <v>11.3</v>
      </c>
      <c r="R42" s="80">
        <f t="shared" si="1"/>
        <v>11.3</v>
      </c>
      <c r="S42" s="83" t="s">
        <v>73</v>
      </c>
    </row>
    <row r="43" spans="1:19" s="84" customFormat="1" ht="29.25" customHeight="1" thickBot="1" x14ac:dyDescent="0.25">
      <c r="A43" s="73">
        <v>1097436</v>
      </c>
      <c r="B43" s="74" t="s">
        <v>65</v>
      </c>
      <c r="C43" s="75" t="s">
        <v>66</v>
      </c>
      <c r="D43" s="76" t="s">
        <v>67</v>
      </c>
      <c r="E43" s="77" t="s">
        <v>95</v>
      </c>
      <c r="F43" s="78" t="s">
        <v>69</v>
      </c>
      <c r="G43" s="79" t="s">
        <v>70</v>
      </c>
      <c r="H43" s="88" t="s">
        <v>99</v>
      </c>
      <c r="I43" s="87" t="s">
        <v>97</v>
      </c>
      <c r="J43" s="82"/>
      <c r="K43" s="82"/>
      <c r="L43" s="82">
        <v>80</v>
      </c>
      <c r="M43" s="80" t="s">
        <v>71</v>
      </c>
      <c r="N43" s="82">
        <v>80</v>
      </c>
      <c r="O43" s="82">
        <v>12.4</v>
      </c>
      <c r="P43" s="82">
        <f t="shared" si="0"/>
        <v>12.4</v>
      </c>
      <c r="Q43" s="82">
        <v>11.3</v>
      </c>
      <c r="R43" s="80">
        <f t="shared" si="1"/>
        <v>11.3</v>
      </c>
      <c r="S43" s="83" t="s">
        <v>73</v>
      </c>
    </row>
    <row r="44" spans="1:19" s="84" customFormat="1" ht="29.25" customHeight="1" thickBot="1" x14ac:dyDescent="0.25">
      <c r="A44" s="73">
        <v>1097436</v>
      </c>
      <c r="B44" s="74" t="s">
        <v>65</v>
      </c>
      <c r="C44" s="75" t="s">
        <v>66</v>
      </c>
      <c r="D44" s="76" t="s">
        <v>67</v>
      </c>
      <c r="E44" s="77" t="s">
        <v>95</v>
      </c>
      <c r="F44" s="78" t="s">
        <v>69</v>
      </c>
      <c r="G44" s="79" t="s">
        <v>70</v>
      </c>
      <c r="H44" s="88" t="s">
        <v>100</v>
      </c>
      <c r="I44" s="81" t="s">
        <v>97</v>
      </c>
      <c r="J44" s="82"/>
      <c r="K44" s="82"/>
      <c r="L44" s="82">
        <v>80</v>
      </c>
      <c r="M44" s="80" t="s">
        <v>71</v>
      </c>
      <c r="N44" s="82">
        <v>80</v>
      </c>
      <c r="O44" s="82">
        <v>12.4</v>
      </c>
      <c r="P44" s="82">
        <f t="shared" si="0"/>
        <v>12.4</v>
      </c>
      <c r="Q44" s="82">
        <v>11.3</v>
      </c>
      <c r="R44" s="80">
        <f t="shared" si="1"/>
        <v>11.3</v>
      </c>
      <c r="S44" s="83" t="s">
        <v>73</v>
      </c>
    </row>
    <row r="45" spans="1:19" s="84" customFormat="1" ht="29.25" customHeight="1" thickBot="1" x14ac:dyDescent="0.25">
      <c r="A45" s="73">
        <v>1097436</v>
      </c>
      <c r="B45" s="74" t="s">
        <v>65</v>
      </c>
      <c r="C45" s="75" t="s">
        <v>66</v>
      </c>
      <c r="D45" s="76" t="s">
        <v>67</v>
      </c>
      <c r="E45" s="77" t="s">
        <v>95</v>
      </c>
      <c r="F45" s="78" t="s">
        <v>69</v>
      </c>
      <c r="G45" s="79" t="s">
        <v>70</v>
      </c>
      <c r="H45" s="88" t="s">
        <v>101</v>
      </c>
      <c r="I45" s="81" t="s">
        <v>97</v>
      </c>
      <c r="J45" s="82"/>
      <c r="K45" s="82"/>
      <c r="L45" s="82">
        <v>80</v>
      </c>
      <c r="M45" s="80" t="s">
        <v>71</v>
      </c>
      <c r="N45" s="82">
        <v>80</v>
      </c>
      <c r="O45" s="82">
        <v>12.4</v>
      </c>
      <c r="P45" s="82">
        <f t="shared" si="0"/>
        <v>12.4</v>
      </c>
      <c r="Q45" s="82">
        <v>11.3</v>
      </c>
      <c r="R45" s="80">
        <f t="shared" si="1"/>
        <v>11.3</v>
      </c>
      <c r="S45" s="83" t="s">
        <v>73</v>
      </c>
    </row>
    <row r="46" spans="1:19" s="84" customFormat="1" ht="29.25" customHeight="1" thickBot="1" x14ac:dyDescent="0.25">
      <c r="A46" s="73">
        <v>1097436</v>
      </c>
      <c r="B46" s="74" t="s">
        <v>65</v>
      </c>
      <c r="C46" s="75" t="s">
        <v>66</v>
      </c>
      <c r="D46" s="76" t="s">
        <v>67</v>
      </c>
      <c r="E46" s="77" t="s">
        <v>95</v>
      </c>
      <c r="F46" s="78" t="s">
        <v>69</v>
      </c>
      <c r="G46" s="79" t="s">
        <v>70</v>
      </c>
      <c r="H46" s="88" t="s">
        <v>102</v>
      </c>
      <c r="I46" s="87" t="s">
        <v>97</v>
      </c>
      <c r="J46" s="82"/>
      <c r="K46" s="82"/>
      <c r="L46" s="82">
        <v>80</v>
      </c>
      <c r="M46" s="80" t="s">
        <v>71</v>
      </c>
      <c r="N46" s="82">
        <v>80</v>
      </c>
      <c r="O46" s="82">
        <v>12.4</v>
      </c>
      <c r="P46" s="82">
        <f t="shared" si="0"/>
        <v>12.4</v>
      </c>
      <c r="Q46" s="82">
        <v>11.3</v>
      </c>
      <c r="R46" s="80">
        <f t="shared" si="1"/>
        <v>11.3</v>
      </c>
      <c r="S46" s="83" t="s">
        <v>73</v>
      </c>
    </row>
    <row r="47" spans="1:19" s="84" customFormat="1" ht="29.25" customHeight="1" thickBot="1" x14ac:dyDescent="0.25">
      <c r="A47" s="73">
        <v>1097436</v>
      </c>
      <c r="B47" s="74" t="s">
        <v>65</v>
      </c>
      <c r="C47" s="75" t="s">
        <v>66</v>
      </c>
      <c r="D47" s="76" t="s">
        <v>67</v>
      </c>
      <c r="E47" s="77" t="s">
        <v>95</v>
      </c>
      <c r="F47" s="78" t="s">
        <v>69</v>
      </c>
      <c r="G47" s="79" t="s">
        <v>70</v>
      </c>
      <c r="H47" s="88" t="s">
        <v>103</v>
      </c>
      <c r="I47" s="81" t="s">
        <v>97</v>
      </c>
      <c r="J47" s="82"/>
      <c r="K47" s="82"/>
      <c r="L47" s="82">
        <v>80</v>
      </c>
      <c r="M47" s="80" t="s">
        <v>71</v>
      </c>
      <c r="N47" s="82">
        <v>80</v>
      </c>
      <c r="O47" s="82">
        <v>12.4</v>
      </c>
      <c r="P47" s="82">
        <f t="shared" si="0"/>
        <v>12.4</v>
      </c>
      <c r="Q47" s="82">
        <v>11.3</v>
      </c>
      <c r="R47" s="80">
        <f t="shared" si="1"/>
        <v>11.3</v>
      </c>
      <c r="S47" s="83" t="s">
        <v>73</v>
      </c>
    </row>
    <row r="48" spans="1:19" s="84" customFormat="1" ht="29.25" customHeight="1" thickBot="1" x14ac:dyDescent="0.25">
      <c r="A48" s="73">
        <v>1097436</v>
      </c>
      <c r="B48" s="74" t="s">
        <v>65</v>
      </c>
      <c r="C48" s="75" t="s">
        <v>66</v>
      </c>
      <c r="D48" s="76" t="s">
        <v>67</v>
      </c>
      <c r="E48" s="77" t="s">
        <v>95</v>
      </c>
      <c r="F48" s="78" t="s">
        <v>69</v>
      </c>
      <c r="G48" s="79" t="s">
        <v>70</v>
      </c>
      <c r="H48" s="88" t="s">
        <v>104</v>
      </c>
      <c r="I48" s="81" t="s">
        <v>97</v>
      </c>
      <c r="J48" s="82"/>
      <c r="K48" s="82"/>
      <c r="L48" s="82">
        <v>80</v>
      </c>
      <c r="M48" s="80" t="s">
        <v>71</v>
      </c>
      <c r="N48" s="82">
        <v>80</v>
      </c>
      <c r="O48" s="82">
        <v>12.4</v>
      </c>
      <c r="P48" s="82">
        <f t="shared" si="0"/>
        <v>12.4</v>
      </c>
      <c r="Q48" s="82">
        <v>11.3</v>
      </c>
      <c r="R48" s="80">
        <f t="shared" si="1"/>
        <v>11.3</v>
      </c>
      <c r="S48" s="83" t="s">
        <v>73</v>
      </c>
    </row>
    <row r="49" spans="1:19" s="84" customFormat="1" ht="29.25" customHeight="1" thickBot="1" x14ac:dyDescent="0.25">
      <c r="A49" s="73">
        <v>1097436</v>
      </c>
      <c r="B49" s="74" t="s">
        <v>65</v>
      </c>
      <c r="C49" s="75" t="s">
        <v>66</v>
      </c>
      <c r="D49" s="76" t="s">
        <v>67</v>
      </c>
      <c r="E49" s="77" t="s">
        <v>95</v>
      </c>
      <c r="F49" s="78" t="s">
        <v>69</v>
      </c>
      <c r="G49" s="79" t="s">
        <v>70</v>
      </c>
      <c r="H49" s="88" t="s">
        <v>105</v>
      </c>
      <c r="I49" s="87" t="s">
        <v>97</v>
      </c>
      <c r="J49" s="82"/>
      <c r="K49" s="82"/>
      <c r="L49" s="82">
        <v>80</v>
      </c>
      <c r="M49" s="80" t="s">
        <v>71</v>
      </c>
      <c r="N49" s="82">
        <v>80</v>
      </c>
      <c r="O49" s="82">
        <v>12.4</v>
      </c>
      <c r="P49" s="82">
        <f t="shared" si="0"/>
        <v>12.4</v>
      </c>
      <c r="Q49" s="82">
        <v>11.3</v>
      </c>
      <c r="R49" s="80">
        <f t="shared" si="1"/>
        <v>11.3</v>
      </c>
      <c r="S49" s="83" t="s">
        <v>73</v>
      </c>
    </row>
    <row r="50" spans="1:19" s="84" customFormat="1" ht="29.25" customHeight="1" thickBot="1" x14ac:dyDescent="0.25">
      <c r="A50" s="73">
        <v>1097436</v>
      </c>
      <c r="B50" s="74" t="s">
        <v>65</v>
      </c>
      <c r="C50" s="75" t="s">
        <v>66</v>
      </c>
      <c r="D50" s="76" t="s">
        <v>67</v>
      </c>
      <c r="E50" s="77" t="s">
        <v>95</v>
      </c>
      <c r="F50" s="78" t="s">
        <v>69</v>
      </c>
      <c r="G50" s="79" t="s">
        <v>70</v>
      </c>
      <c r="H50" s="88" t="s">
        <v>106</v>
      </c>
      <c r="I50" s="81" t="s">
        <v>97</v>
      </c>
      <c r="J50" s="82"/>
      <c r="K50" s="82"/>
      <c r="L50" s="82">
        <v>80</v>
      </c>
      <c r="M50" s="80" t="s">
        <v>71</v>
      </c>
      <c r="N50" s="82">
        <v>80</v>
      </c>
      <c r="O50" s="82">
        <v>12.4</v>
      </c>
      <c r="P50" s="82">
        <f t="shared" si="0"/>
        <v>12.4</v>
      </c>
      <c r="Q50" s="82">
        <v>11.3</v>
      </c>
      <c r="R50" s="80">
        <f t="shared" si="1"/>
        <v>11.3</v>
      </c>
      <c r="S50" s="83" t="s">
        <v>73</v>
      </c>
    </row>
    <row r="51" spans="1:19" s="84" customFormat="1" ht="28.15" customHeight="1" thickBot="1" x14ac:dyDescent="0.25">
      <c r="A51" s="73">
        <v>1097434</v>
      </c>
      <c r="B51" s="74" t="s">
        <v>107</v>
      </c>
      <c r="C51" s="89" t="s">
        <v>66</v>
      </c>
      <c r="D51" s="90" t="s">
        <v>108</v>
      </c>
      <c r="E51" s="77" t="s">
        <v>109</v>
      </c>
      <c r="F51" s="3" t="s">
        <v>69</v>
      </c>
      <c r="G51" s="91" t="s">
        <v>70</v>
      </c>
      <c r="H51" s="80" t="s">
        <v>110</v>
      </c>
      <c r="I51" s="81" t="s">
        <v>72</v>
      </c>
      <c r="J51" s="82">
        <v>80</v>
      </c>
      <c r="K51" s="82"/>
      <c r="L51" s="82"/>
      <c r="M51" s="80" t="s">
        <v>71</v>
      </c>
      <c r="N51" s="82">
        <v>80</v>
      </c>
      <c r="O51" s="82">
        <v>13.2</v>
      </c>
      <c r="P51" s="82">
        <f t="shared" si="0"/>
        <v>13.2</v>
      </c>
      <c r="Q51" s="82">
        <v>12.1</v>
      </c>
      <c r="R51" s="80">
        <f t="shared" si="1"/>
        <v>12.1</v>
      </c>
      <c r="S51" s="83" t="s">
        <v>73</v>
      </c>
    </row>
    <row r="52" spans="1:19" s="84" customFormat="1" ht="29.25" customHeight="1" thickBot="1" x14ac:dyDescent="0.25">
      <c r="A52" s="73">
        <v>1097434</v>
      </c>
      <c r="B52" s="74" t="s">
        <v>107</v>
      </c>
      <c r="C52" s="75" t="s">
        <v>66</v>
      </c>
      <c r="D52" s="76" t="s">
        <v>108</v>
      </c>
      <c r="E52" s="77" t="s">
        <v>109</v>
      </c>
      <c r="F52" s="78" t="s">
        <v>69</v>
      </c>
      <c r="G52" s="79" t="s">
        <v>70</v>
      </c>
      <c r="H52" s="88" t="s">
        <v>111</v>
      </c>
      <c r="I52" s="81" t="s">
        <v>72</v>
      </c>
      <c r="J52" s="82">
        <v>80</v>
      </c>
      <c r="K52" s="82"/>
      <c r="L52" s="82"/>
      <c r="M52" s="80" t="s">
        <v>71</v>
      </c>
      <c r="N52" s="82">
        <v>80</v>
      </c>
      <c r="O52" s="82">
        <v>13.2</v>
      </c>
      <c r="P52" s="82">
        <f t="shared" si="0"/>
        <v>13.2</v>
      </c>
      <c r="Q52" s="82">
        <v>12.1</v>
      </c>
      <c r="R52" s="80">
        <f t="shared" si="1"/>
        <v>12.1</v>
      </c>
      <c r="S52" s="83" t="s">
        <v>73</v>
      </c>
    </row>
    <row r="53" spans="1:19" s="84" customFormat="1" ht="29.25" customHeight="1" thickBot="1" x14ac:dyDescent="0.25">
      <c r="A53" s="73">
        <v>1097434</v>
      </c>
      <c r="B53" s="74" t="s">
        <v>107</v>
      </c>
      <c r="C53" s="89" t="s">
        <v>66</v>
      </c>
      <c r="D53" s="90" t="s">
        <v>108</v>
      </c>
      <c r="E53" s="77" t="s">
        <v>109</v>
      </c>
      <c r="F53" s="3" t="s">
        <v>69</v>
      </c>
      <c r="G53" s="91" t="s">
        <v>70</v>
      </c>
      <c r="H53" s="88" t="s">
        <v>112</v>
      </c>
      <c r="I53" s="81" t="s">
        <v>72</v>
      </c>
      <c r="J53" s="82">
        <v>80</v>
      </c>
      <c r="K53" s="82"/>
      <c r="L53" s="82"/>
      <c r="M53" s="80" t="s">
        <v>71</v>
      </c>
      <c r="N53" s="82">
        <v>80</v>
      </c>
      <c r="O53" s="82">
        <v>13.2</v>
      </c>
      <c r="P53" s="82">
        <f t="shared" si="0"/>
        <v>13.2</v>
      </c>
      <c r="Q53" s="82">
        <v>12.1</v>
      </c>
      <c r="R53" s="80">
        <f t="shared" si="1"/>
        <v>12.1</v>
      </c>
      <c r="S53" s="83" t="s">
        <v>73</v>
      </c>
    </row>
    <row r="54" spans="1:19" s="84" customFormat="1" ht="29.25" customHeight="1" thickBot="1" x14ac:dyDescent="0.25">
      <c r="A54" s="73">
        <v>1097434</v>
      </c>
      <c r="B54" s="74" t="s">
        <v>107</v>
      </c>
      <c r="C54" s="75" t="s">
        <v>66</v>
      </c>
      <c r="D54" s="76" t="s">
        <v>108</v>
      </c>
      <c r="E54" s="77" t="s">
        <v>109</v>
      </c>
      <c r="F54" s="78" t="s">
        <v>69</v>
      </c>
      <c r="G54" s="79" t="s">
        <v>70</v>
      </c>
      <c r="H54" s="88" t="s">
        <v>113</v>
      </c>
      <c r="I54" s="81" t="s">
        <v>72</v>
      </c>
      <c r="J54" s="82">
        <v>80</v>
      </c>
      <c r="K54" s="82"/>
      <c r="L54" s="82"/>
      <c r="M54" s="80" t="s">
        <v>71</v>
      </c>
      <c r="N54" s="82">
        <v>80</v>
      </c>
      <c r="O54" s="82">
        <v>13.2</v>
      </c>
      <c r="P54" s="82">
        <f t="shared" si="0"/>
        <v>13.2</v>
      </c>
      <c r="Q54" s="82">
        <v>12.1</v>
      </c>
      <c r="R54" s="80">
        <f t="shared" si="1"/>
        <v>12.1</v>
      </c>
      <c r="S54" s="83" t="s">
        <v>73</v>
      </c>
    </row>
    <row r="55" spans="1:19" s="84" customFormat="1" ht="29.25" customHeight="1" thickBot="1" x14ac:dyDescent="0.25">
      <c r="A55" s="73">
        <v>1097434</v>
      </c>
      <c r="B55" s="74" t="s">
        <v>107</v>
      </c>
      <c r="C55" s="89" t="s">
        <v>66</v>
      </c>
      <c r="D55" s="90" t="s">
        <v>108</v>
      </c>
      <c r="E55" s="77" t="s">
        <v>109</v>
      </c>
      <c r="F55" s="3" t="s">
        <v>69</v>
      </c>
      <c r="G55" s="91" t="s">
        <v>70</v>
      </c>
      <c r="H55" s="88" t="s">
        <v>114</v>
      </c>
      <c r="I55" s="81" t="s">
        <v>72</v>
      </c>
      <c r="J55" s="82">
        <v>80</v>
      </c>
      <c r="K55" s="82"/>
      <c r="L55" s="82"/>
      <c r="M55" s="80" t="s">
        <v>71</v>
      </c>
      <c r="N55" s="82">
        <v>80</v>
      </c>
      <c r="O55" s="82">
        <v>13.2</v>
      </c>
      <c r="P55" s="82">
        <f t="shared" si="0"/>
        <v>13.2</v>
      </c>
      <c r="Q55" s="82">
        <v>12.1</v>
      </c>
      <c r="R55" s="80">
        <f t="shared" si="1"/>
        <v>12.1</v>
      </c>
      <c r="S55" s="83" t="s">
        <v>73</v>
      </c>
    </row>
    <row r="56" spans="1:19" s="84" customFormat="1" ht="29.25" customHeight="1" thickBot="1" x14ac:dyDescent="0.25">
      <c r="A56" s="73">
        <v>1097434</v>
      </c>
      <c r="B56" s="74" t="s">
        <v>107</v>
      </c>
      <c r="C56" s="75" t="s">
        <v>66</v>
      </c>
      <c r="D56" s="76" t="s">
        <v>108</v>
      </c>
      <c r="E56" s="77" t="s">
        <v>109</v>
      </c>
      <c r="F56" s="78" t="s">
        <v>69</v>
      </c>
      <c r="G56" s="79" t="s">
        <v>70</v>
      </c>
      <c r="H56" s="88" t="s">
        <v>115</v>
      </c>
      <c r="I56" s="81" t="s">
        <v>72</v>
      </c>
      <c r="J56" s="82">
        <v>80</v>
      </c>
      <c r="K56" s="82"/>
      <c r="L56" s="82"/>
      <c r="M56" s="80" t="s">
        <v>71</v>
      </c>
      <c r="N56" s="82">
        <v>80</v>
      </c>
      <c r="O56" s="82">
        <v>13.2</v>
      </c>
      <c r="P56" s="82">
        <f t="shared" si="0"/>
        <v>13.2</v>
      </c>
      <c r="Q56" s="82">
        <v>12.1</v>
      </c>
      <c r="R56" s="80">
        <f t="shared" si="1"/>
        <v>12.1</v>
      </c>
      <c r="S56" s="83" t="s">
        <v>73</v>
      </c>
    </row>
    <row r="57" spans="1:19" s="84" customFormat="1" ht="29.25" customHeight="1" thickBot="1" x14ac:dyDescent="0.25">
      <c r="A57" s="73">
        <v>1097434</v>
      </c>
      <c r="B57" s="74" t="s">
        <v>107</v>
      </c>
      <c r="C57" s="89" t="s">
        <v>66</v>
      </c>
      <c r="D57" s="90" t="s">
        <v>108</v>
      </c>
      <c r="E57" s="77" t="s">
        <v>109</v>
      </c>
      <c r="F57" s="3" t="s">
        <v>69</v>
      </c>
      <c r="G57" s="91" t="s">
        <v>70</v>
      </c>
      <c r="H57" s="88" t="s">
        <v>116</v>
      </c>
      <c r="I57" s="81" t="s">
        <v>72</v>
      </c>
      <c r="J57" s="82">
        <v>80</v>
      </c>
      <c r="K57" s="82"/>
      <c r="L57" s="82"/>
      <c r="M57" s="80" t="s">
        <v>71</v>
      </c>
      <c r="N57" s="82">
        <v>80</v>
      </c>
      <c r="O57" s="82">
        <v>13.2</v>
      </c>
      <c r="P57" s="82">
        <f t="shared" si="0"/>
        <v>13.2</v>
      </c>
      <c r="Q57" s="82">
        <v>12.1</v>
      </c>
      <c r="R57" s="80">
        <f t="shared" si="1"/>
        <v>12.1</v>
      </c>
      <c r="S57" s="83" t="s">
        <v>73</v>
      </c>
    </row>
    <row r="58" spans="1:19" s="84" customFormat="1" ht="29.25" customHeight="1" thickBot="1" x14ac:dyDescent="0.25">
      <c r="A58" s="73">
        <v>1097434</v>
      </c>
      <c r="B58" s="74" t="s">
        <v>107</v>
      </c>
      <c r="C58" s="75" t="s">
        <v>66</v>
      </c>
      <c r="D58" s="76" t="s">
        <v>108</v>
      </c>
      <c r="E58" s="77" t="s">
        <v>109</v>
      </c>
      <c r="F58" s="78" t="s">
        <v>69</v>
      </c>
      <c r="G58" s="79" t="s">
        <v>70</v>
      </c>
      <c r="H58" s="88" t="s">
        <v>117</v>
      </c>
      <c r="I58" s="81" t="s">
        <v>72</v>
      </c>
      <c r="J58" s="82">
        <v>40</v>
      </c>
      <c r="K58" s="82"/>
      <c r="L58" s="82"/>
      <c r="M58" s="80" t="s">
        <v>71</v>
      </c>
      <c r="N58" s="82">
        <v>40</v>
      </c>
      <c r="O58" s="82">
        <v>7.2</v>
      </c>
      <c r="P58" s="82">
        <f t="shared" si="0"/>
        <v>7.2</v>
      </c>
      <c r="Q58" s="82">
        <v>6.1</v>
      </c>
      <c r="R58" s="80">
        <f t="shared" si="1"/>
        <v>6.1</v>
      </c>
      <c r="S58" s="83" t="s">
        <v>73</v>
      </c>
    </row>
    <row r="59" spans="1:19" s="84" customFormat="1" ht="28.15" customHeight="1" thickBot="1" x14ac:dyDescent="0.25">
      <c r="A59" s="73">
        <v>1097434</v>
      </c>
      <c r="B59" s="74" t="s">
        <v>107</v>
      </c>
      <c r="C59" s="75" t="s">
        <v>66</v>
      </c>
      <c r="D59" s="76" t="s">
        <v>108</v>
      </c>
      <c r="E59" s="77" t="s">
        <v>118</v>
      </c>
      <c r="F59" s="78" t="s">
        <v>69</v>
      </c>
      <c r="G59" s="79" t="s">
        <v>70</v>
      </c>
      <c r="H59" s="80" t="s">
        <v>119</v>
      </c>
      <c r="I59" s="81" t="s">
        <v>85</v>
      </c>
      <c r="J59" s="82"/>
      <c r="K59" s="82">
        <v>80</v>
      </c>
      <c r="L59" s="82"/>
      <c r="M59" s="80" t="s">
        <v>71</v>
      </c>
      <c r="N59" s="82">
        <v>80</v>
      </c>
      <c r="O59" s="82">
        <v>13.5</v>
      </c>
      <c r="P59" s="82">
        <f t="shared" si="0"/>
        <v>13.5</v>
      </c>
      <c r="Q59" s="82">
        <v>12.5</v>
      </c>
      <c r="R59" s="80">
        <f t="shared" si="1"/>
        <v>12.5</v>
      </c>
      <c r="S59" s="83" t="s">
        <v>73</v>
      </c>
    </row>
    <row r="60" spans="1:19" s="84" customFormat="1" ht="28.15" customHeight="1" thickBot="1" x14ac:dyDescent="0.25">
      <c r="A60" s="73">
        <v>1097434</v>
      </c>
      <c r="B60" s="74" t="s">
        <v>107</v>
      </c>
      <c r="C60" s="75" t="s">
        <v>66</v>
      </c>
      <c r="D60" s="76" t="s">
        <v>108</v>
      </c>
      <c r="E60" s="77" t="s">
        <v>118</v>
      </c>
      <c r="F60" s="78" t="s">
        <v>69</v>
      </c>
      <c r="G60" s="79" t="s">
        <v>70</v>
      </c>
      <c r="H60" s="80" t="s">
        <v>120</v>
      </c>
      <c r="I60" s="81" t="s">
        <v>85</v>
      </c>
      <c r="J60" s="82"/>
      <c r="K60" s="82">
        <v>80</v>
      </c>
      <c r="L60" s="82"/>
      <c r="M60" s="80" t="s">
        <v>71</v>
      </c>
      <c r="N60" s="82">
        <v>80</v>
      </c>
      <c r="O60" s="82">
        <v>13.5</v>
      </c>
      <c r="P60" s="82">
        <f t="shared" si="0"/>
        <v>13.5</v>
      </c>
      <c r="Q60" s="82">
        <v>12.5</v>
      </c>
      <c r="R60" s="80">
        <f t="shared" si="1"/>
        <v>12.5</v>
      </c>
      <c r="S60" s="83" t="s">
        <v>73</v>
      </c>
    </row>
    <row r="61" spans="1:19" s="84" customFormat="1" ht="28.15" customHeight="1" thickBot="1" x14ac:dyDescent="0.25">
      <c r="A61" s="73">
        <v>1097434</v>
      </c>
      <c r="B61" s="74" t="s">
        <v>107</v>
      </c>
      <c r="C61" s="75" t="s">
        <v>66</v>
      </c>
      <c r="D61" s="76" t="s">
        <v>108</v>
      </c>
      <c r="E61" s="77" t="s">
        <v>118</v>
      </c>
      <c r="F61" s="78" t="s">
        <v>69</v>
      </c>
      <c r="G61" s="79" t="s">
        <v>70</v>
      </c>
      <c r="H61" s="80" t="s">
        <v>121</v>
      </c>
      <c r="I61" s="81" t="s">
        <v>85</v>
      </c>
      <c r="J61" s="82"/>
      <c r="K61" s="82">
        <v>80</v>
      </c>
      <c r="L61" s="82"/>
      <c r="M61" s="80" t="s">
        <v>71</v>
      </c>
      <c r="N61" s="82">
        <v>80</v>
      </c>
      <c r="O61" s="82">
        <v>13.5</v>
      </c>
      <c r="P61" s="82">
        <f t="shared" si="0"/>
        <v>13.5</v>
      </c>
      <c r="Q61" s="82">
        <v>12.5</v>
      </c>
      <c r="R61" s="80">
        <f t="shared" si="1"/>
        <v>12.5</v>
      </c>
      <c r="S61" s="83" t="s">
        <v>73</v>
      </c>
    </row>
    <row r="62" spans="1:19" s="84" customFormat="1" ht="28.15" customHeight="1" thickBot="1" x14ac:dyDescent="0.25">
      <c r="A62" s="73">
        <v>1097434</v>
      </c>
      <c r="B62" s="74" t="s">
        <v>107</v>
      </c>
      <c r="C62" s="75" t="s">
        <v>66</v>
      </c>
      <c r="D62" s="76" t="s">
        <v>108</v>
      </c>
      <c r="E62" s="77" t="s">
        <v>118</v>
      </c>
      <c r="F62" s="78" t="s">
        <v>69</v>
      </c>
      <c r="G62" s="79" t="s">
        <v>70</v>
      </c>
      <c r="H62" s="80" t="s">
        <v>122</v>
      </c>
      <c r="I62" s="81" t="s">
        <v>85</v>
      </c>
      <c r="J62" s="82"/>
      <c r="K62" s="82">
        <v>80</v>
      </c>
      <c r="L62" s="82"/>
      <c r="M62" s="80" t="s">
        <v>71</v>
      </c>
      <c r="N62" s="82">
        <v>80</v>
      </c>
      <c r="O62" s="82">
        <v>13.5</v>
      </c>
      <c r="P62" s="82">
        <f t="shared" si="0"/>
        <v>13.5</v>
      </c>
      <c r="Q62" s="82">
        <v>12.5</v>
      </c>
      <c r="R62" s="80">
        <f t="shared" si="1"/>
        <v>12.5</v>
      </c>
      <c r="S62" s="83" t="s">
        <v>73</v>
      </c>
    </row>
    <row r="63" spans="1:19" s="84" customFormat="1" ht="28.15" customHeight="1" thickBot="1" x14ac:dyDescent="0.25">
      <c r="A63" s="73">
        <v>1097434</v>
      </c>
      <c r="B63" s="74" t="s">
        <v>107</v>
      </c>
      <c r="C63" s="75" t="s">
        <v>66</v>
      </c>
      <c r="D63" s="76" t="s">
        <v>108</v>
      </c>
      <c r="E63" s="77" t="s">
        <v>118</v>
      </c>
      <c r="F63" s="78" t="s">
        <v>69</v>
      </c>
      <c r="G63" s="79" t="s">
        <v>70</v>
      </c>
      <c r="H63" s="80" t="s">
        <v>123</v>
      </c>
      <c r="I63" s="81" t="s">
        <v>85</v>
      </c>
      <c r="J63" s="82"/>
      <c r="K63" s="82">
        <v>80</v>
      </c>
      <c r="L63" s="82"/>
      <c r="M63" s="80" t="s">
        <v>71</v>
      </c>
      <c r="N63" s="82">
        <v>80</v>
      </c>
      <c r="O63" s="82">
        <v>13.5</v>
      </c>
      <c r="P63" s="82">
        <f t="shared" si="0"/>
        <v>13.5</v>
      </c>
      <c r="Q63" s="82">
        <v>12.5</v>
      </c>
      <c r="R63" s="80">
        <f t="shared" si="1"/>
        <v>12.5</v>
      </c>
      <c r="S63" s="83" t="s">
        <v>73</v>
      </c>
    </row>
    <row r="64" spans="1:19" s="84" customFormat="1" ht="28.15" customHeight="1" thickBot="1" x14ac:dyDescent="0.25">
      <c r="A64" s="73">
        <v>1097434</v>
      </c>
      <c r="B64" s="74" t="s">
        <v>107</v>
      </c>
      <c r="C64" s="75" t="s">
        <v>66</v>
      </c>
      <c r="D64" s="76" t="s">
        <v>108</v>
      </c>
      <c r="E64" s="77" t="s">
        <v>118</v>
      </c>
      <c r="F64" s="78" t="s">
        <v>69</v>
      </c>
      <c r="G64" s="79" t="s">
        <v>70</v>
      </c>
      <c r="H64" s="80" t="s">
        <v>124</v>
      </c>
      <c r="I64" s="81" t="s">
        <v>85</v>
      </c>
      <c r="J64" s="82"/>
      <c r="K64" s="82">
        <v>80</v>
      </c>
      <c r="L64" s="82"/>
      <c r="M64" s="80" t="s">
        <v>71</v>
      </c>
      <c r="N64" s="82">
        <v>80</v>
      </c>
      <c r="O64" s="82">
        <v>13.5</v>
      </c>
      <c r="P64" s="82">
        <f t="shared" si="0"/>
        <v>13.5</v>
      </c>
      <c r="Q64" s="82">
        <v>12.5</v>
      </c>
      <c r="R64" s="80">
        <f t="shared" si="1"/>
        <v>12.5</v>
      </c>
      <c r="S64" s="83" t="s">
        <v>73</v>
      </c>
    </row>
    <row r="65" spans="1:19" s="84" customFormat="1" ht="28.15" customHeight="1" thickBot="1" x14ac:dyDescent="0.25">
      <c r="A65" s="73">
        <v>1097434</v>
      </c>
      <c r="B65" s="74" t="s">
        <v>107</v>
      </c>
      <c r="C65" s="75" t="s">
        <v>66</v>
      </c>
      <c r="D65" s="76" t="s">
        <v>108</v>
      </c>
      <c r="E65" s="77" t="s">
        <v>118</v>
      </c>
      <c r="F65" s="78" t="s">
        <v>69</v>
      </c>
      <c r="G65" s="79" t="s">
        <v>70</v>
      </c>
      <c r="H65" s="80" t="s">
        <v>125</v>
      </c>
      <c r="I65" s="81" t="s">
        <v>85</v>
      </c>
      <c r="J65" s="82"/>
      <c r="K65" s="82">
        <v>80</v>
      </c>
      <c r="L65" s="82"/>
      <c r="M65" s="80" t="s">
        <v>71</v>
      </c>
      <c r="N65" s="82">
        <v>80</v>
      </c>
      <c r="O65" s="82">
        <v>13.5</v>
      </c>
      <c r="P65" s="82">
        <f t="shared" si="0"/>
        <v>13.5</v>
      </c>
      <c r="Q65" s="82">
        <v>12.5</v>
      </c>
      <c r="R65" s="80">
        <f t="shared" si="1"/>
        <v>12.5</v>
      </c>
      <c r="S65" s="83" t="s">
        <v>73</v>
      </c>
    </row>
    <row r="66" spans="1:19" s="84" customFormat="1" ht="28.15" customHeight="1" thickBot="1" x14ac:dyDescent="0.25">
      <c r="A66" s="73">
        <v>1097434</v>
      </c>
      <c r="B66" s="74" t="s">
        <v>107</v>
      </c>
      <c r="C66" s="75" t="s">
        <v>66</v>
      </c>
      <c r="D66" s="76" t="s">
        <v>108</v>
      </c>
      <c r="E66" s="77" t="s">
        <v>118</v>
      </c>
      <c r="F66" s="78" t="s">
        <v>69</v>
      </c>
      <c r="G66" s="79" t="s">
        <v>70</v>
      </c>
      <c r="H66" s="80" t="s">
        <v>126</v>
      </c>
      <c r="I66" s="81" t="s">
        <v>85</v>
      </c>
      <c r="J66" s="82"/>
      <c r="K66" s="82">
        <v>80</v>
      </c>
      <c r="L66" s="82"/>
      <c r="M66" s="80" t="s">
        <v>71</v>
      </c>
      <c r="N66" s="82">
        <v>80</v>
      </c>
      <c r="O66" s="82">
        <v>13.5</v>
      </c>
      <c r="P66" s="82">
        <f t="shared" si="0"/>
        <v>13.5</v>
      </c>
      <c r="Q66" s="82">
        <v>12.5</v>
      </c>
      <c r="R66" s="80">
        <f t="shared" si="1"/>
        <v>12.5</v>
      </c>
      <c r="S66" s="83" t="s">
        <v>73</v>
      </c>
    </row>
    <row r="67" spans="1:19" s="84" customFormat="1" ht="29.25" customHeight="1" thickBot="1" x14ac:dyDescent="0.25">
      <c r="A67" s="73">
        <v>1097434</v>
      </c>
      <c r="B67" s="74" t="s">
        <v>107</v>
      </c>
      <c r="C67" s="75" t="s">
        <v>66</v>
      </c>
      <c r="D67" s="76" t="s">
        <v>108</v>
      </c>
      <c r="E67" s="77" t="s">
        <v>118</v>
      </c>
      <c r="F67" s="78" t="s">
        <v>69</v>
      </c>
      <c r="G67" s="79" t="s">
        <v>70</v>
      </c>
      <c r="H67" s="80" t="s">
        <v>127</v>
      </c>
      <c r="I67" s="81" t="s">
        <v>85</v>
      </c>
      <c r="J67" s="82"/>
      <c r="K67" s="82">
        <v>80</v>
      </c>
      <c r="L67" s="82"/>
      <c r="M67" s="80" t="s">
        <v>71</v>
      </c>
      <c r="N67" s="82">
        <v>80</v>
      </c>
      <c r="O67" s="82">
        <v>13.5</v>
      </c>
      <c r="P67" s="82">
        <f t="shared" si="0"/>
        <v>13.5</v>
      </c>
      <c r="Q67" s="82">
        <v>12.5</v>
      </c>
      <c r="R67" s="80">
        <f t="shared" si="1"/>
        <v>12.5</v>
      </c>
      <c r="S67" s="83" t="s">
        <v>73</v>
      </c>
    </row>
    <row r="68" spans="1:19" s="84" customFormat="1" ht="29.25" customHeight="1" thickBot="1" x14ac:dyDescent="0.25">
      <c r="A68" s="73">
        <v>1097434</v>
      </c>
      <c r="B68" s="74" t="s">
        <v>107</v>
      </c>
      <c r="C68" s="89" t="s">
        <v>66</v>
      </c>
      <c r="D68" s="90" t="s">
        <v>108</v>
      </c>
      <c r="E68" s="77" t="s">
        <v>118</v>
      </c>
      <c r="F68" s="3" t="s">
        <v>69</v>
      </c>
      <c r="G68" s="91" t="s">
        <v>70</v>
      </c>
      <c r="H68" s="80" t="s">
        <v>128</v>
      </c>
      <c r="I68" s="81" t="s">
        <v>85</v>
      </c>
      <c r="J68" s="82"/>
      <c r="K68" s="82">
        <v>80</v>
      </c>
      <c r="L68" s="82"/>
      <c r="M68" s="80" t="s">
        <v>71</v>
      </c>
      <c r="N68" s="82">
        <v>80</v>
      </c>
      <c r="O68" s="82">
        <v>13.5</v>
      </c>
      <c r="P68" s="82">
        <f t="shared" si="0"/>
        <v>13.5</v>
      </c>
      <c r="Q68" s="82">
        <v>12.5</v>
      </c>
      <c r="R68" s="80">
        <f t="shared" si="1"/>
        <v>12.5</v>
      </c>
      <c r="S68" s="83" t="s">
        <v>73</v>
      </c>
    </row>
    <row r="69" spans="1:19" s="84" customFormat="1" ht="29.25" customHeight="1" thickBot="1" x14ac:dyDescent="0.25">
      <c r="A69" s="73">
        <v>1097434</v>
      </c>
      <c r="B69" s="74" t="s">
        <v>107</v>
      </c>
      <c r="C69" s="75" t="s">
        <v>66</v>
      </c>
      <c r="D69" s="76" t="s">
        <v>108</v>
      </c>
      <c r="E69" s="77" t="s">
        <v>129</v>
      </c>
      <c r="F69" s="78" t="s">
        <v>69</v>
      </c>
      <c r="G69" s="79" t="s">
        <v>70</v>
      </c>
      <c r="H69" s="88" t="s">
        <v>130</v>
      </c>
      <c r="I69" s="81" t="s">
        <v>97</v>
      </c>
      <c r="J69" s="82"/>
      <c r="K69" s="82"/>
      <c r="L69" s="82">
        <v>80</v>
      </c>
      <c r="M69" s="80" t="s">
        <v>71</v>
      </c>
      <c r="N69" s="82">
        <v>80</v>
      </c>
      <c r="O69" s="82">
        <v>13.9</v>
      </c>
      <c r="P69" s="82">
        <f t="shared" si="0"/>
        <v>13.9</v>
      </c>
      <c r="Q69" s="82">
        <v>12.8</v>
      </c>
      <c r="R69" s="80">
        <f t="shared" si="1"/>
        <v>12.8</v>
      </c>
      <c r="S69" s="83" t="s">
        <v>73</v>
      </c>
    </row>
    <row r="70" spans="1:19" s="84" customFormat="1" ht="29.25" customHeight="1" thickBot="1" x14ac:dyDescent="0.25">
      <c r="A70" s="73">
        <v>1097434</v>
      </c>
      <c r="B70" s="74" t="s">
        <v>107</v>
      </c>
      <c r="C70" s="89" t="s">
        <v>66</v>
      </c>
      <c r="D70" s="90" t="s">
        <v>108</v>
      </c>
      <c r="E70" s="77" t="s">
        <v>129</v>
      </c>
      <c r="F70" s="3" t="s">
        <v>69</v>
      </c>
      <c r="G70" s="91" t="s">
        <v>70</v>
      </c>
      <c r="H70" s="88" t="s">
        <v>131</v>
      </c>
      <c r="I70" s="87" t="s">
        <v>97</v>
      </c>
      <c r="J70" s="82"/>
      <c r="K70" s="82"/>
      <c r="L70" s="82">
        <v>80</v>
      </c>
      <c r="M70" s="80" t="s">
        <v>71</v>
      </c>
      <c r="N70" s="82">
        <v>80</v>
      </c>
      <c r="O70" s="82">
        <v>13.9</v>
      </c>
      <c r="P70" s="82">
        <f t="shared" si="0"/>
        <v>13.9</v>
      </c>
      <c r="Q70" s="82">
        <v>12.8</v>
      </c>
      <c r="R70" s="80">
        <f t="shared" si="1"/>
        <v>12.8</v>
      </c>
      <c r="S70" s="83" t="s">
        <v>73</v>
      </c>
    </row>
    <row r="71" spans="1:19" s="84" customFormat="1" ht="29.25" customHeight="1" thickBot="1" x14ac:dyDescent="0.25">
      <c r="A71" s="73">
        <v>1097434</v>
      </c>
      <c r="B71" s="74" t="s">
        <v>107</v>
      </c>
      <c r="C71" s="75" t="s">
        <v>66</v>
      </c>
      <c r="D71" s="76" t="s">
        <v>108</v>
      </c>
      <c r="E71" s="77" t="s">
        <v>129</v>
      </c>
      <c r="F71" s="78" t="s">
        <v>69</v>
      </c>
      <c r="G71" s="79" t="s">
        <v>70</v>
      </c>
      <c r="H71" s="88" t="s">
        <v>132</v>
      </c>
      <c r="I71" s="81" t="s">
        <v>97</v>
      </c>
      <c r="J71" s="82"/>
      <c r="K71" s="82"/>
      <c r="L71" s="82">
        <v>80</v>
      </c>
      <c r="M71" s="80" t="s">
        <v>71</v>
      </c>
      <c r="N71" s="82">
        <v>80</v>
      </c>
      <c r="O71" s="82">
        <v>13.9</v>
      </c>
      <c r="P71" s="82">
        <f t="shared" si="0"/>
        <v>13.9</v>
      </c>
      <c r="Q71" s="82">
        <v>12.8</v>
      </c>
      <c r="R71" s="80">
        <f t="shared" si="1"/>
        <v>12.8</v>
      </c>
      <c r="S71" s="83" t="s">
        <v>73</v>
      </c>
    </row>
    <row r="72" spans="1:19" s="84" customFormat="1" ht="29.25" customHeight="1" thickBot="1" x14ac:dyDescent="0.25">
      <c r="A72" s="73">
        <v>1097434</v>
      </c>
      <c r="B72" s="74" t="s">
        <v>107</v>
      </c>
      <c r="C72" s="89" t="s">
        <v>66</v>
      </c>
      <c r="D72" s="90" t="s">
        <v>108</v>
      </c>
      <c r="E72" s="77" t="s">
        <v>129</v>
      </c>
      <c r="F72" s="3" t="s">
        <v>69</v>
      </c>
      <c r="G72" s="91" t="s">
        <v>70</v>
      </c>
      <c r="H72" s="88" t="s">
        <v>133</v>
      </c>
      <c r="I72" s="81" t="s">
        <v>97</v>
      </c>
      <c r="J72" s="82"/>
      <c r="K72" s="82"/>
      <c r="L72" s="82">
        <v>80</v>
      </c>
      <c r="M72" s="80" t="s">
        <v>71</v>
      </c>
      <c r="N72" s="82">
        <v>80</v>
      </c>
      <c r="O72" s="82">
        <v>13.9</v>
      </c>
      <c r="P72" s="82">
        <f t="shared" si="0"/>
        <v>13.9</v>
      </c>
      <c r="Q72" s="82">
        <v>12.8</v>
      </c>
      <c r="R72" s="80">
        <f t="shared" si="1"/>
        <v>12.8</v>
      </c>
      <c r="S72" s="83" t="s">
        <v>73</v>
      </c>
    </row>
    <row r="73" spans="1:19" s="84" customFormat="1" ht="29.25" customHeight="1" thickBot="1" x14ac:dyDescent="0.25">
      <c r="A73" s="73">
        <v>1097434</v>
      </c>
      <c r="B73" s="74" t="s">
        <v>107</v>
      </c>
      <c r="C73" s="75" t="s">
        <v>66</v>
      </c>
      <c r="D73" s="76" t="s">
        <v>108</v>
      </c>
      <c r="E73" s="77" t="s">
        <v>129</v>
      </c>
      <c r="F73" s="78" t="s">
        <v>69</v>
      </c>
      <c r="G73" s="79" t="s">
        <v>70</v>
      </c>
      <c r="H73" s="88" t="s">
        <v>134</v>
      </c>
      <c r="I73" s="87" t="s">
        <v>97</v>
      </c>
      <c r="J73" s="82"/>
      <c r="K73" s="82"/>
      <c r="L73" s="82">
        <v>80</v>
      </c>
      <c r="M73" s="80" t="s">
        <v>71</v>
      </c>
      <c r="N73" s="82">
        <v>80</v>
      </c>
      <c r="O73" s="82">
        <v>13.9</v>
      </c>
      <c r="P73" s="82">
        <f t="shared" si="0"/>
        <v>13.9</v>
      </c>
      <c r="Q73" s="82">
        <v>12.8</v>
      </c>
      <c r="R73" s="80">
        <f t="shared" si="1"/>
        <v>12.8</v>
      </c>
      <c r="S73" s="83" t="s">
        <v>73</v>
      </c>
    </row>
    <row r="74" spans="1:19" s="84" customFormat="1" ht="29.25" customHeight="1" thickBot="1" x14ac:dyDescent="0.25">
      <c r="A74" s="73">
        <v>1097434</v>
      </c>
      <c r="B74" s="74" t="s">
        <v>107</v>
      </c>
      <c r="C74" s="89" t="s">
        <v>66</v>
      </c>
      <c r="D74" s="90" t="s">
        <v>108</v>
      </c>
      <c r="E74" s="77" t="s">
        <v>129</v>
      </c>
      <c r="F74" s="3" t="s">
        <v>69</v>
      </c>
      <c r="G74" s="91" t="s">
        <v>70</v>
      </c>
      <c r="H74" s="88" t="s">
        <v>135</v>
      </c>
      <c r="I74" s="81" t="s">
        <v>97</v>
      </c>
      <c r="J74" s="82"/>
      <c r="K74" s="82"/>
      <c r="L74" s="82">
        <v>80</v>
      </c>
      <c r="M74" s="80" t="s">
        <v>71</v>
      </c>
      <c r="N74" s="82">
        <v>80</v>
      </c>
      <c r="O74" s="82">
        <v>13.9</v>
      </c>
      <c r="P74" s="82">
        <f t="shared" si="0"/>
        <v>13.9</v>
      </c>
      <c r="Q74" s="82">
        <v>12.8</v>
      </c>
      <c r="R74" s="80">
        <f t="shared" si="1"/>
        <v>12.8</v>
      </c>
      <c r="S74" s="83" t="s">
        <v>73</v>
      </c>
    </row>
    <row r="75" spans="1:19" s="84" customFormat="1" ht="29.25" customHeight="1" thickBot="1" x14ac:dyDescent="0.25">
      <c r="A75" s="73">
        <v>1097434</v>
      </c>
      <c r="B75" s="74" t="s">
        <v>107</v>
      </c>
      <c r="C75" s="75" t="s">
        <v>66</v>
      </c>
      <c r="D75" s="76" t="s">
        <v>108</v>
      </c>
      <c r="E75" s="77" t="s">
        <v>129</v>
      </c>
      <c r="F75" s="78" t="s">
        <v>69</v>
      </c>
      <c r="G75" s="79" t="s">
        <v>70</v>
      </c>
      <c r="H75" s="88" t="s">
        <v>136</v>
      </c>
      <c r="I75" s="81" t="s">
        <v>97</v>
      </c>
      <c r="J75" s="82"/>
      <c r="K75" s="82"/>
      <c r="L75" s="82">
        <v>80</v>
      </c>
      <c r="M75" s="80" t="s">
        <v>71</v>
      </c>
      <c r="N75" s="82">
        <v>80</v>
      </c>
      <c r="O75" s="82">
        <v>13.9</v>
      </c>
      <c r="P75" s="82">
        <f t="shared" si="0"/>
        <v>13.9</v>
      </c>
      <c r="Q75" s="82">
        <v>12.8</v>
      </c>
      <c r="R75" s="80">
        <f t="shared" si="1"/>
        <v>12.8</v>
      </c>
      <c r="S75" s="83" t="s">
        <v>73</v>
      </c>
    </row>
    <row r="76" spans="1:19" s="84" customFormat="1" ht="29.25" customHeight="1" thickBot="1" x14ac:dyDescent="0.25">
      <c r="A76" s="73">
        <v>1097434</v>
      </c>
      <c r="B76" s="74" t="s">
        <v>107</v>
      </c>
      <c r="C76" s="89" t="s">
        <v>66</v>
      </c>
      <c r="D76" s="90" t="s">
        <v>108</v>
      </c>
      <c r="E76" s="77" t="s">
        <v>129</v>
      </c>
      <c r="F76" s="3" t="s">
        <v>69</v>
      </c>
      <c r="G76" s="91" t="s">
        <v>70</v>
      </c>
      <c r="H76" s="88" t="s">
        <v>137</v>
      </c>
      <c r="I76" s="87" t="s">
        <v>97</v>
      </c>
      <c r="J76" s="82"/>
      <c r="K76" s="82"/>
      <c r="L76" s="82">
        <v>80</v>
      </c>
      <c r="M76" s="80" t="s">
        <v>71</v>
      </c>
      <c r="N76" s="82">
        <v>80</v>
      </c>
      <c r="O76" s="82">
        <v>13.9</v>
      </c>
      <c r="P76" s="82">
        <f t="shared" si="0"/>
        <v>13.9</v>
      </c>
      <c r="Q76" s="82">
        <v>12.8</v>
      </c>
      <c r="R76" s="80">
        <f t="shared" si="1"/>
        <v>12.8</v>
      </c>
      <c r="S76" s="83" t="s">
        <v>73</v>
      </c>
    </row>
    <row r="77" spans="1:19" s="84" customFormat="1" ht="29.25" customHeight="1" thickBot="1" x14ac:dyDescent="0.25">
      <c r="A77" s="73">
        <v>1097434</v>
      </c>
      <c r="B77" s="74" t="s">
        <v>107</v>
      </c>
      <c r="C77" s="75" t="s">
        <v>66</v>
      </c>
      <c r="D77" s="76" t="s">
        <v>108</v>
      </c>
      <c r="E77" s="77" t="s">
        <v>129</v>
      </c>
      <c r="F77" s="78" t="s">
        <v>69</v>
      </c>
      <c r="G77" s="79" t="s">
        <v>70</v>
      </c>
      <c r="H77" s="88" t="s">
        <v>138</v>
      </c>
      <c r="I77" s="81" t="s">
        <v>97</v>
      </c>
      <c r="J77" s="82"/>
      <c r="K77" s="82"/>
      <c r="L77" s="82">
        <v>80</v>
      </c>
      <c r="M77" s="80" t="s">
        <v>71</v>
      </c>
      <c r="N77" s="82">
        <v>80</v>
      </c>
      <c r="O77" s="82">
        <v>13.9</v>
      </c>
      <c r="P77" s="82">
        <f t="shared" si="0"/>
        <v>13.9</v>
      </c>
      <c r="Q77" s="82">
        <v>12.8</v>
      </c>
      <c r="R77" s="80">
        <f t="shared" si="1"/>
        <v>12.8</v>
      </c>
      <c r="S77" s="83" t="s">
        <v>73</v>
      </c>
    </row>
    <row r="78" spans="1:19" s="84" customFormat="1" ht="29.25" customHeight="1" thickBot="1" x14ac:dyDescent="0.25">
      <c r="A78" s="73">
        <v>1097434</v>
      </c>
      <c r="B78" s="74" t="s">
        <v>107</v>
      </c>
      <c r="C78" s="75" t="s">
        <v>66</v>
      </c>
      <c r="D78" s="76" t="s">
        <v>108</v>
      </c>
      <c r="E78" s="92" t="s">
        <v>129</v>
      </c>
      <c r="F78" s="78" t="s">
        <v>69</v>
      </c>
      <c r="G78" s="79" t="s">
        <v>70</v>
      </c>
      <c r="H78" s="88" t="s">
        <v>139</v>
      </c>
      <c r="I78" s="81" t="s">
        <v>97</v>
      </c>
      <c r="J78" s="82"/>
      <c r="K78" s="82"/>
      <c r="L78" s="82">
        <v>80</v>
      </c>
      <c r="M78" s="80" t="s">
        <v>71</v>
      </c>
      <c r="N78" s="82">
        <v>80</v>
      </c>
      <c r="O78" s="82">
        <v>13.9</v>
      </c>
      <c r="P78" s="82">
        <f t="shared" si="0"/>
        <v>13.9</v>
      </c>
      <c r="Q78" s="82">
        <v>12.8</v>
      </c>
      <c r="R78" s="80">
        <f t="shared" si="1"/>
        <v>12.8</v>
      </c>
      <c r="S78" s="93" t="s">
        <v>73</v>
      </c>
    </row>
    <row r="79" spans="1:19" ht="21" customHeight="1" thickBot="1" x14ac:dyDescent="0.3">
      <c r="A79" s="94"/>
      <c r="B79" s="94"/>
      <c r="C79" s="95"/>
      <c r="D79" s="94"/>
      <c r="E79" s="94"/>
      <c r="F79" s="95"/>
      <c r="G79" s="94"/>
      <c r="H79" s="94"/>
      <c r="I79" s="94"/>
      <c r="J79" s="94"/>
      <c r="K79" s="94"/>
      <c r="L79" s="94"/>
      <c r="M79" s="96">
        <f>SUM(M21+M22+M23+M24+M25+M26+M27+M28+M29+M30+M31+M32+M33+M34+M35+M36+M37+M38+M39+M40+M41+M42+M43+M44+M45+M46+M47+M48+M49+M50+M51+M52+M53+M54+M55+M56+M57+M58+M59+M60+M61+M62+M63+M64+M65+M66+M67+M68+M69+M70+M71+M72+M73+M74+M75+M76+M77+M78)</f>
        <v>58</v>
      </c>
      <c r="N79" s="94">
        <f>SUM(N21:N78)</f>
        <v>4600</v>
      </c>
      <c r="O79" s="94"/>
      <c r="P79" s="97">
        <f>SUM(P21:P78)</f>
        <v>735.2999999999995</v>
      </c>
      <c r="Q79" s="94"/>
      <c r="R79" s="98">
        <f>SUM(R21:R78)</f>
        <v>672.79999999999984</v>
      </c>
      <c r="S79" s="99"/>
    </row>
    <row r="80" spans="1:19" s="84" customFormat="1" thickTop="1" x14ac:dyDescent="0.2"/>
    <row r="81" spans="3:19" s="84" customFormat="1" x14ac:dyDescent="0.25">
      <c r="C81" s="62" t="s">
        <v>140</v>
      </c>
      <c r="N81" s="100"/>
      <c r="O81" s="101"/>
      <c r="P81" s="102"/>
      <c r="R81" s="62" t="s">
        <v>141</v>
      </c>
      <c r="S81" s="62"/>
    </row>
    <row r="82" spans="3:19" s="84" customFormat="1" ht="15.75" x14ac:dyDescent="0.25">
      <c r="C82" s="103" t="s">
        <v>142</v>
      </c>
    </row>
    <row r="83" spans="3:19" s="84" customFormat="1" x14ac:dyDescent="0.25">
      <c r="D83" s="62"/>
      <c r="E83" s="62"/>
      <c r="F83" s="62"/>
    </row>
    <row r="84" spans="3:19" s="84" customFormat="1" x14ac:dyDescent="0.25">
      <c r="D84" s="62"/>
      <c r="E84" s="62"/>
      <c r="F84" s="62"/>
    </row>
    <row r="85" spans="3:19" s="84" customFormat="1" ht="14.25" x14ac:dyDescent="0.2"/>
    <row r="86" spans="3:19" s="84" customFormat="1" ht="14.25" x14ac:dyDescent="0.2"/>
    <row r="87" spans="3:19" s="84" customFormat="1" ht="14.25" x14ac:dyDescent="0.2"/>
    <row r="90" spans="3:19" x14ac:dyDescent="0.25">
      <c r="F90" s="104"/>
      <c r="H90" s="105"/>
    </row>
    <row r="91" spans="3:19" x14ac:dyDescent="0.25">
      <c r="F91" s="104"/>
      <c r="H91" s="104"/>
    </row>
    <row r="92" spans="3:19" x14ac:dyDescent="0.25">
      <c r="F92" s="104"/>
      <c r="H92" s="104"/>
    </row>
    <row r="93" spans="3:19" x14ac:dyDescent="0.25">
      <c r="H93" s="104"/>
    </row>
  </sheetData>
  <sheetProtection algorithmName="SHA-512" hashValue="GyPf0UUtpgijYuQqlUQrQmXBiDLvDkW92mwW/m9lv/NoOi9VoOJ9DCDpXi/xGlpDDSoMpcrQbsjhit+hpm0Nqw==" saltValue="cjN8uVAqEAE25wOJLJUa4Q==" spinCount="100000" sheet="1" objects="1" scenarios="1"/>
  <autoFilter ref="A20:R79" xr:uid="{69EBF188-0E24-489F-9161-AA2A3FB5FAD5}"/>
  <mergeCells count="1">
    <mergeCell ref="I5:J6"/>
  </mergeCells>
  <phoneticPr fontId="3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65" orientation="landscape" r:id="rId1"/>
  <headerFooter alignWithMargins="0">
    <oddFooter>&amp;CPage &amp;P OF &amp;N</oddFooter>
  </headerFooter>
  <rowBreaks count="2" manualBreakCount="2">
    <brk id="33" max="18" man="1"/>
    <brk id="57" max="18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477E8-A755-4ED1-8507-A724F02C3139}">
  <dimension ref="A1"/>
  <sheetViews>
    <sheetView workbookViewId="0">
      <selection activeCell="O84" sqref="O84"/>
    </sheetView>
  </sheetViews>
  <sheetFormatPr defaultRowHeight="15.75" x14ac:dyDescent="0.25"/>
  <sheetData/>
  <phoneticPr fontId="34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A1E1172CD48640B915C04C1DCB5F42" ma:contentTypeVersion="10" ma:contentTypeDescription="Create a new document." ma:contentTypeScope="" ma:versionID="3b6840f30fd49d1ad4496c00b0b8e9ef">
  <xsd:schema xmlns:xsd="http://www.w3.org/2001/XMLSchema" xmlns:xs="http://www.w3.org/2001/XMLSchema" xmlns:p="http://schemas.microsoft.com/office/2006/metadata/properties" xmlns:ns2="325046ce-da1d-4fdf-b4ad-5f1c81b188ce" xmlns:ns3="70434bd7-0b31-427e-ab21-7eeeef51a1d4" targetNamespace="http://schemas.microsoft.com/office/2006/metadata/properties" ma:root="true" ma:fieldsID="3388417322851bb4124f0f2e1970da9c" ns2:_="" ns3:_="">
    <xsd:import namespace="325046ce-da1d-4fdf-b4ad-5f1c81b188ce"/>
    <xsd:import namespace="70434bd7-0b31-427e-ab21-7eeeef51a1d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5046ce-da1d-4fdf-b4ad-5f1c81b188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b84cd98-db81-48fc-a8d7-f7f5a6e7fd5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434bd7-0b31-427e-ab21-7eeeef51a1d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be35666-694b-4820-8d38-2023f0b2f155}" ma:internalName="TaxCatchAll" ma:showField="CatchAllData" ma:web="70434bd7-0b31-427e-ab21-7eeeef51a1d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0434bd7-0b31-427e-ab21-7eeeef51a1d4" xsi:nil="true"/>
    <lcf76f155ced4ddcb4097134ff3c332f xmlns="325046ce-da1d-4fdf-b4ad-5f1c81b188c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626C3D9-D8CC-4BA0-A2D9-567AC6F0B6F2}"/>
</file>

<file path=customXml/itemProps2.xml><?xml version="1.0" encoding="utf-8"?>
<ds:datastoreItem xmlns:ds="http://schemas.openxmlformats.org/officeDocument/2006/customXml" ds:itemID="{A1C92212-7E4B-47AD-9366-869870853172}"/>
</file>

<file path=customXml/itemProps3.xml><?xml version="1.0" encoding="utf-8"?>
<ds:datastoreItem xmlns:ds="http://schemas.openxmlformats.org/officeDocument/2006/customXml" ds:itemID="{A85C1A67-E83B-4C22-95BF-A669F7E561E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AU Packing List</vt:lpstr>
      <vt:lpstr>工作表1</vt:lpstr>
      <vt:lpstr>'AU Packing List'!Print_Area</vt:lpstr>
      <vt:lpstr>'AU Packing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He</dc:creator>
  <cp:lastModifiedBy>Karen He</cp:lastModifiedBy>
  <dcterms:created xsi:type="dcterms:W3CDTF">2025-12-30T07:26:50Z</dcterms:created>
  <dcterms:modified xsi:type="dcterms:W3CDTF">2025-12-30T07:27:01Z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0x010100EDA1E1172CD48640B915C04C1DCB5F42</vt:lpwstr>
  </property>
</Properties>
</file>