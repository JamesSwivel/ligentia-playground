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Jane - Harddisk D\Invoice\CITY CHIC\2025\1.12.2025\"/>
    </mc:Choice>
  </mc:AlternateContent>
  <xr:revisionPtr revIDLastSave="0" documentId="13_ncr:1_{A423446F-E94C-45DA-9576-2E8C3A697014}" xr6:coauthVersionLast="47" xr6:coauthVersionMax="47" xr10:uidLastSave="{00000000-0000-0000-0000-000000000000}"/>
  <bookViews>
    <workbookView xWindow="-120" yWindow="-120" windowWidth="29040" windowHeight="17640" tabRatio="389" xr2:uid="{00000000-000D-0000-FFFF-FFFF00000000}"/>
  </bookViews>
  <sheets>
    <sheet name="CTC INV OI-25140A" sheetId="34" r:id="rId1"/>
    <sheet name="Sheet1" sheetId="33" r:id="rId2"/>
  </sheets>
  <definedNames>
    <definedName name="_xlnm._FilterDatabase" localSheetId="0" hidden="1">'CTC INV OI-25140A'!$A$22:$Y$291</definedName>
    <definedName name="_xlnm.Print_Area" localSheetId="0">'CTC INV OI-25140A'!$A$1:$Y$291</definedName>
    <definedName name="_xlnm.Print_Titles" localSheetId="0">'CTC INV OI-25140A'!$22:$22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91" i="34" l="1"/>
  <c r="W291" i="34"/>
  <c r="V291" i="34"/>
  <c r="I291" i="34"/>
  <c r="V154" i="34"/>
  <c r="Y154" i="34"/>
  <c r="V155" i="34"/>
  <c r="Y155" i="34"/>
  <c r="V156" i="34"/>
  <c r="Y156" i="34"/>
  <c r="V157" i="34"/>
  <c r="Y157" i="34"/>
  <c r="V158" i="34"/>
  <c r="Y158" i="34"/>
  <c r="V159" i="34"/>
  <c r="Y159" i="34"/>
  <c r="V160" i="34"/>
  <c r="Y160" i="34"/>
  <c r="V161" i="34"/>
  <c r="Y161" i="34"/>
  <c r="V162" i="34"/>
  <c r="Y162" i="34"/>
  <c r="V163" i="34"/>
  <c r="Y163" i="34"/>
  <c r="V164" i="34"/>
  <c r="Y164" i="34"/>
  <c r="V165" i="34"/>
  <c r="Y165" i="34"/>
  <c r="V166" i="34"/>
  <c r="Y166" i="34"/>
  <c r="V167" i="34"/>
  <c r="Y167" i="34"/>
  <c r="V168" i="34"/>
  <c r="Y168" i="34"/>
  <c r="V169" i="34"/>
  <c r="Y169" i="34"/>
  <c r="V170" i="34"/>
  <c r="Y170" i="34"/>
  <c r="V171" i="34"/>
  <c r="Y171" i="34"/>
  <c r="V172" i="34"/>
  <c r="Y172" i="34"/>
  <c r="V173" i="34"/>
  <c r="Y173" i="34"/>
  <c r="V174" i="34"/>
  <c r="Y174" i="34"/>
  <c r="V175" i="34"/>
  <c r="Y175" i="34"/>
  <c r="V176" i="34"/>
  <c r="Y176" i="34"/>
  <c r="V177" i="34"/>
  <c r="Y177" i="34"/>
  <c r="V178" i="34"/>
  <c r="Y178" i="34"/>
  <c r="V179" i="34"/>
  <c r="Y179" i="34"/>
  <c r="V180" i="34"/>
  <c r="Y180" i="34"/>
  <c r="V181" i="34"/>
  <c r="Y181" i="34"/>
  <c r="V182" i="34"/>
  <c r="Y182" i="34"/>
  <c r="V183" i="34"/>
  <c r="Y183" i="34"/>
  <c r="V184" i="34"/>
  <c r="Y184" i="34"/>
  <c r="V185" i="34"/>
  <c r="Y185" i="34"/>
  <c r="V186" i="34"/>
  <c r="Y186" i="34"/>
  <c r="V187" i="34"/>
  <c r="Y187" i="34"/>
  <c r="V188" i="34"/>
  <c r="Y188" i="34"/>
  <c r="V189" i="34"/>
  <c r="Y189" i="34"/>
  <c r="V190" i="34"/>
  <c r="Y190" i="34"/>
  <c r="V191" i="34"/>
  <c r="Y191" i="34"/>
  <c r="V192" i="34"/>
  <c r="Y192" i="34"/>
  <c r="V193" i="34"/>
  <c r="Y193" i="34"/>
  <c r="V194" i="34"/>
  <c r="Y194" i="34"/>
  <c r="V195" i="34"/>
  <c r="Y195" i="34"/>
  <c r="V196" i="34"/>
  <c r="Y196" i="34"/>
  <c r="V197" i="34"/>
  <c r="Y197" i="34"/>
  <c r="V198" i="34"/>
  <c r="Y198" i="34"/>
  <c r="V199" i="34"/>
  <c r="Y199" i="34"/>
  <c r="V200" i="34"/>
  <c r="Y200" i="34"/>
  <c r="V201" i="34"/>
  <c r="Y201" i="34"/>
  <c r="V202" i="34"/>
  <c r="Y202" i="34"/>
  <c r="V203" i="34"/>
  <c r="Y203" i="34"/>
  <c r="V204" i="34"/>
  <c r="Y204" i="34"/>
  <c r="V205" i="34"/>
  <c r="Y205" i="34"/>
  <c r="Y290" i="34" s="1"/>
  <c r="V206" i="34"/>
  <c r="Y206" i="34"/>
  <c r="V207" i="34"/>
  <c r="Y207" i="34"/>
  <c r="V208" i="34"/>
  <c r="Y208" i="34"/>
  <c r="V209" i="34"/>
  <c r="Y209" i="34"/>
  <c r="V210" i="34"/>
  <c r="Y210" i="34"/>
  <c r="V211" i="34"/>
  <c r="Y211" i="34"/>
  <c r="V212" i="34"/>
  <c r="Y212" i="34"/>
  <c r="V213" i="34"/>
  <c r="Y213" i="34"/>
  <c r="V214" i="34"/>
  <c r="Y214" i="34"/>
  <c r="V215" i="34"/>
  <c r="Y215" i="34"/>
  <c r="V216" i="34"/>
  <c r="Y216" i="34"/>
  <c r="V217" i="34"/>
  <c r="Y217" i="34"/>
  <c r="V218" i="34"/>
  <c r="Y218" i="34"/>
  <c r="V219" i="34"/>
  <c r="Y219" i="34"/>
  <c r="V220" i="34"/>
  <c r="Y220" i="34"/>
  <c r="V221" i="34"/>
  <c r="Y221" i="34"/>
  <c r="V222" i="34"/>
  <c r="Y222" i="34"/>
  <c r="V223" i="34"/>
  <c r="Y223" i="34"/>
  <c r="V224" i="34"/>
  <c r="Y224" i="34"/>
  <c r="V225" i="34"/>
  <c r="Y225" i="34"/>
  <c r="V226" i="34"/>
  <c r="Y226" i="34"/>
  <c r="V227" i="34"/>
  <c r="Y227" i="34"/>
  <c r="V228" i="34"/>
  <c r="Y228" i="34"/>
  <c r="V229" i="34"/>
  <c r="Y229" i="34"/>
  <c r="V230" i="34"/>
  <c r="Y230" i="34"/>
  <c r="V231" i="34"/>
  <c r="Y231" i="34"/>
  <c r="V232" i="34"/>
  <c r="Y232" i="34"/>
  <c r="V233" i="34"/>
  <c r="Y233" i="34"/>
  <c r="V234" i="34"/>
  <c r="Y234" i="34"/>
  <c r="V235" i="34"/>
  <c r="Y235" i="34"/>
  <c r="V236" i="34"/>
  <c r="Y236" i="34"/>
  <c r="V237" i="34"/>
  <c r="Y237" i="34"/>
  <c r="V238" i="34"/>
  <c r="Y238" i="34"/>
  <c r="V239" i="34"/>
  <c r="Y239" i="34"/>
  <c r="V240" i="34"/>
  <c r="Y240" i="34"/>
  <c r="V241" i="34"/>
  <c r="Y241" i="34"/>
  <c r="V242" i="34"/>
  <c r="Y242" i="34"/>
  <c r="V243" i="34"/>
  <c r="Y243" i="34"/>
  <c r="V244" i="34"/>
  <c r="Y244" i="34"/>
  <c r="V245" i="34"/>
  <c r="Y245" i="34"/>
  <c r="V246" i="34"/>
  <c r="Y246" i="34"/>
  <c r="V247" i="34"/>
  <c r="Y247" i="34"/>
  <c r="V248" i="34"/>
  <c r="Y248" i="34"/>
  <c r="V249" i="34"/>
  <c r="Y249" i="34"/>
  <c r="V250" i="34"/>
  <c r="Y250" i="34"/>
  <c r="V251" i="34"/>
  <c r="Y251" i="34"/>
  <c r="V252" i="34"/>
  <c r="Y252" i="34"/>
  <c r="V253" i="34"/>
  <c r="Y253" i="34"/>
  <c r="V254" i="34"/>
  <c r="Y254" i="34"/>
  <c r="V255" i="34"/>
  <c r="Y255" i="34"/>
  <c r="V256" i="34"/>
  <c r="Y256" i="34"/>
  <c r="V257" i="34"/>
  <c r="Y257" i="34"/>
  <c r="V258" i="34"/>
  <c r="Y258" i="34"/>
  <c r="V259" i="34"/>
  <c r="Y259" i="34"/>
  <c r="V260" i="34"/>
  <c r="Y260" i="34"/>
  <c r="V261" i="34"/>
  <c r="Y261" i="34"/>
  <c r="V262" i="34"/>
  <c r="Y262" i="34"/>
  <c r="V263" i="34"/>
  <c r="Y263" i="34"/>
  <c r="V264" i="34"/>
  <c r="Y264" i="34"/>
  <c r="V265" i="34"/>
  <c r="Y265" i="34"/>
  <c r="V266" i="34"/>
  <c r="Y266" i="34"/>
  <c r="V267" i="34"/>
  <c r="Y267" i="34"/>
  <c r="V268" i="34"/>
  <c r="Y268" i="34"/>
  <c r="V269" i="34"/>
  <c r="Y269" i="34"/>
  <c r="V270" i="34"/>
  <c r="Y270" i="34"/>
  <c r="V271" i="34"/>
  <c r="Y271" i="34"/>
  <c r="V272" i="34"/>
  <c r="Y272" i="34"/>
  <c r="V273" i="34"/>
  <c r="Y273" i="34"/>
  <c r="V274" i="34"/>
  <c r="Y274" i="34"/>
  <c r="V275" i="34"/>
  <c r="Y275" i="34"/>
  <c r="V276" i="34"/>
  <c r="Y276" i="34"/>
  <c r="V277" i="34"/>
  <c r="Y277" i="34"/>
  <c r="V278" i="34"/>
  <c r="Y278" i="34"/>
  <c r="V279" i="34"/>
  <c r="Y279" i="34"/>
  <c r="V280" i="34"/>
  <c r="Y280" i="34"/>
  <c r="V281" i="34"/>
  <c r="Y281" i="34"/>
  <c r="V282" i="34"/>
  <c r="Y282" i="34"/>
  <c r="V283" i="34"/>
  <c r="Y283" i="34"/>
  <c r="V284" i="34"/>
  <c r="Y284" i="34"/>
  <c r="V285" i="34"/>
  <c r="Y285" i="34"/>
  <c r="V286" i="34"/>
  <c r="Y286" i="34"/>
  <c r="V287" i="34"/>
  <c r="Y287" i="34"/>
  <c r="V288" i="34"/>
  <c r="Y288" i="34"/>
  <c r="V289" i="34"/>
  <c r="Y289" i="34"/>
  <c r="L290" i="34"/>
  <c r="M290" i="34"/>
  <c r="N290" i="34"/>
  <c r="O290" i="34"/>
  <c r="P290" i="34"/>
  <c r="Q290" i="34"/>
  <c r="R290" i="34"/>
  <c r="S290" i="34"/>
  <c r="T290" i="34"/>
  <c r="U290" i="34"/>
  <c r="I290" i="34" s="1"/>
  <c r="V290" i="34"/>
  <c r="W290" i="34"/>
  <c r="AB19" i="34"/>
  <c r="W153" i="34"/>
  <c r="U153" i="34" l="1"/>
  <c r="I153" i="34" s="1"/>
  <c r="T153" i="34"/>
  <c r="S153" i="34"/>
  <c r="R153" i="34"/>
  <c r="Q153" i="34"/>
  <c r="P153" i="34"/>
  <c r="O153" i="34"/>
  <c r="N153" i="34"/>
  <c r="M153" i="34"/>
  <c r="L153" i="34"/>
  <c r="Y152" i="34"/>
  <c r="V152" i="34"/>
  <c r="Y151" i="34"/>
  <c r="V151" i="34"/>
  <c r="Y150" i="34"/>
  <c r="V150" i="34"/>
  <c r="Y149" i="34"/>
  <c r="V149" i="34"/>
  <c r="Y148" i="34"/>
  <c r="V148" i="34"/>
  <c r="Y147" i="34"/>
  <c r="V147" i="34"/>
  <c r="Y146" i="34"/>
  <c r="V146" i="34"/>
  <c r="Y145" i="34"/>
  <c r="V145" i="34"/>
  <c r="Y144" i="34"/>
  <c r="V144" i="34"/>
  <c r="Y143" i="34"/>
  <c r="V143" i="34"/>
  <c r="Y142" i="34"/>
  <c r="V142" i="34"/>
  <c r="Y141" i="34"/>
  <c r="V141" i="34"/>
  <c r="Y140" i="34"/>
  <c r="V140" i="34"/>
  <c r="Y139" i="34"/>
  <c r="V139" i="34"/>
  <c r="Y138" i="34"/>
  <c r="V138" i="34"/>
  <c r="Y137" i="34"/>
  <c r="V137" i="34"/>
  <c r="Y136" i="34"/>
  <c r="V136" i="34"/>
  <c r="Y135" i="34"/>
  <c r="V135" i="34"/>
  <c r="Y134" i="34"/>
  <c r="V134" i="34"/>
  <c r="Y133" i="34"/>
  <c r="V133" i="34"/>
  <c r="Y132" i="34"/>
  <c r="V132" i="34"/>
  <c r="Y131" i="34"/>
  <c r="V131" i="34"/>
  <c r="Y130" i="34"/>
  <c r="V130" i="34"/>
  <c r="Y129" i="34"/>
  <c r="V129" i="34"/>
  <c r="Y128" i="34"/>
  <c r="V128" i="34"/>
  <c r="Y127" i="34"/>
  <c r="V127" i="34"/>
  <c r="Y126" i="34"/>
  <c r="V126" i="34"/>
  <c r="Y125" i="34"/>
  <c r="V125" i="34"/>
  <c r="Y124" i="34"/>
  <c r="V124" i="34"/>
  <c r="Y123" i="34"/>
  <c r="V123" i="34"/>
  <c r="Y122" i="34"/>
  <c r="V122" i="34"/>
  <c r="Y121" i="34"/>
  <c r="V121" i="34"/>
  <c r="Y120" i="34"/>
  <c r="V120" i="34"/>
  <c r="Y119" i="34"/>
  <c r="V119" i="34"/>
  <c r="Y118" i="34"/>
  <c r="V118" i="34"/>
  <c r="Y117" i="34"/>
  <c r="V117" i="34"/>
  <c r="Y116" i="34"/>
  <c r="V116" i="34"/>
  <c r="Y115" i="34"/>
  <c r="V115" i="34"/>
  <c r="Y114" i="34"/>
  <c r="V114" i="34"/>
  <c r="Y113" i="34"/>
  <c r="V113" i="34"/>
  <c r="Y112" i="34"/>
  <c r="V112" i="34"/>
  <c r="Y111" i="34"/>
  <c r="V111" i="34"/>
  <c r="Y110" i="34"/>
  <c r="V110" i="34"/>
  <c r="Y109" i="34"/>
  <c r="V109" i="34"/>
  <c r="Y108" i="34"/>
  <c r="V108" i="34"/>
  <c r="Y107" i="34"/>
  <c r="V107" i="34"/>
  <c r="Y106" i="34"/>
  <c r="V106" i="34"/>
  <c r="Y105" i="34"/>
  <c r="V105" i="34"/>
  <c r="Y104" i="34"/>
  <c r="V104" i="34"/>
  <c r="Y103" i="34"/>
  <c r="V103" i="34"/>
  <c r="Y102" i="34"/>
  <c r="V102" i="34"/>
  <c r="Y101" i="34"/>
  <c r="V101" i="34"/>
  <c r="Y100" i="34"/>
  <c r="V100" i="34"/>
  <c r="Y99" i="34"/>
  <c r="V99" i="34"/>
  <c r="Y98" i="34"/>
  <c r="V98" i="34"/>
  <c r="Y97" i="34"/>
  <c r="V97" i="34"/>
  <c r="Y96" i="34"/>
  <c r="V96" i="34"/>
  <c r="Y95" i="34"/>
  <c r="V95" i="34"/>
  <c r="Y94" i="34"/>
  <c r="V94" i="34"/>
  <c r="Y93" i="34"/>
  <c r="V93" i="34"/>
  <c r="Y92" i="34"/>
  <c r="V92" i="34"/>
  <c r="Y91" i="34"/>
  <c r="V91" i="34"/>
  <c r="Y90" i="34"/>
  <c r="V90" i="34"/>
  <c r="Y89" i="34"/>
  <c r="V89" i="34"/>
  <c r="Y88" i="34"/>
  <c r="V88" i="34"/>
  <c r="Y87" i="34"/>
  <c r="V87" i="34"/>
  <c r="Y86" i="34"/>
  <c r="V86" i="34"/>
  <c r="Y85" i="34"/>
  <c r="V85" i="34"/>
  <c r="Y84" i="34"/>
  <c r="V84" i="34"/>
  <c r="Y83" i="34"/>
  <c r="V83" i="34"/>
  <c r="Y82" i="34"/>
  <c r="V82" i="34"/>
  <c r="Y81" i="34"/>
  <c r="V81" i="34"/>
  <c r="Y80" i="34"/>
  <c r="V80" i="34"/>
  <c r="Y79" i="34"/>
  <c r="V79" i="34"/>
  <c r="Y78" i="34"/>
  <c r="V78" i="34"/>
  <c r="Y77" i="34"/>
  <c r="V77" i="34"/>
  <c r="Y76" i="34"/>
  <c r="V76" i="34"/>
  <c r="Y75" i="34"/>
  <c r="V75" i="34"/>
  <c r="Y74" i="34"/>
  <c r="V74" i="34"/>
  <c r="Y73" i="34"/>
  <c r="V73" i="34"/>
  <c r="Y72" i="34"/>
  <c r="V72" i="34"/>
  <c r="Y71" i="34"/>
  <c r="V71" i="34"/>
  <c r="Y70" i="34"/>
  <c r="V70" i="34"/>
  <c r="Y69" i="34"/>
  <c r="V69" i="34"/>
  <c r="Y68" i="34"/>
  <c r="V68" i="34"/>
  <c r="Y67" i="34"/>
  <c r="V67" i="34"/>
  <c r="Y66" i="34"/>
  <c r="V66" i="34"/>
  <c r="Y65" i="34"/>
  <c r="V65" i="34"/>
  <c r="Y64" i="34"/>
  <c r="V64" i="34"/>
  <c r="Y63" i="34"/>
  <c r="V63" i="34"/>
  <c r="Y62" i="34"/>
  <c r="V62" i="34"/>
  <c r="Y61" i="34"/>
  <c r="V61" i="34"/>
  <c r="Y60" i="34"/>
  <c r="V60" i="34"/>
  <c r="Y59" i="34"/>
  <c r="V59" i="34"/>
  <c r="Y58" i="34"/>
  <c r="V58" i="34"/>
  <c r="Y57" i="34"/>
  <c r="V57" i="34"/>
  <c r="Y56" i="34"/>
  <c r="V56" i="34"/>
  <c r="Y55" i="34"/>
  <c r="V55" i="34"/>
  <c r="Y54" i="34"/>
  <c r="V54" i="34"/>
  <c r="Y53" i="34"/>
  <c r="V53" i="34"/>
  <c r="Y52" i="34"/>
  <c r="V52" i="34"/>
  <c r="Y51" i="34"/>
  <c r="V51" i="34"/>
  <c r="Y50" i="34"/>
  <c r="V50" i="34"/>
  <c r="Y49" i="34"/>
  <c r="V49" i="34"/>
  <c r="Y48" i="34"/>
  <c r="V48" i="34"/>
  <c r="Y47" i="34"/>
  <c r="V47" i="34"/>
  <c r="Y46" i="34"/>
  <c r="V46" i="34"/>
  <c r="Y45" i="34"/>
  <c r="V45" i="34"/>
  <c r="Y44" i="34"/>
  <c r="V44" i="34"/>
  <c r="Y43" i="34"/>
  <c r="V43" i="34"/>
  <c r="Y42" i="34"/>
  <c r="V42" i="34"/>
  <c r="Y41" i="34"/>
  <c r="V41" i="34"/>
  <c r="Y40" i="34"/>
  <c r="V40" i="34"/>
  <c r="Y39" i="34"/>
  <c r="V39" i="34"/>
  <c r="Y38" i="34"/>
  <c r="V38" i="34"/>
  <c r="Y37" i="34"/>
  <c r="V37" i="34"/>
  <c r="Y36" i="34"/>
  <c r="V36" i="34"/>
  <c r="Y35" i="34"/>
  <c r="V35" i="34"/>
  <c r="Y34" i="34"/>
  <c r="V34" i="34"/>
  <c r="Y33" i="34"/>
  <c r="V33" i="34"/>
  <c r="Y32" i="34"/>
  <c r="V32" i="34"/>
  <c r="Y31" i="34"/>
  <c r="V31" i="34"/>
  <c r="Y30" i="34"/>
  <c r="V30" i="34"/>
  <c r="Y29" i="34"/>
  <c r="V29" i="34"/>
  <c r="Y28" i="34"/>
  <c r="V28" i="34"/>
  <c r="Y27" i="34"/>
  <c r="V27" i="34"/>
  <c r="Y26" i="34"/>
  <c r="V26" i="34"/>
  <c r="Y25" i="34"/>
  <c r="V25" i="34"/>
  <c r="Y24" i="34"/>
  <c r="V24" i="34"/>
  <c r="Y23" i="34"/>
  <c r="V23" i="34"/>
  <c r="T22" i="34"/>
  <c r="S22" i="34"/>
  <c r="R22" i="34"/>
  <c r="Q22" i="34"/>
  <c r="P22" i="34"/>
  <c r="O22" i="34"/>
  <c r="N22" i="34"/>
  <c r="M22" i="34"/>
  <c r="L22" i="34"/>
  <c r="V153" i="34" l="1"/>
  <c r="Y153" i="34"/>
</calcChain>
</file>

<file path=xl/sharedStrings.xml><?xml version="1.0" encoding="utf-8"?>
<sst xmlns="http://schemas.openxmlformats.org/spreadsheetml/2006/main" count="2183" uniqueCount="281">
  <si>
    <t xml:space="preserve">Oleno International Company Ltd.  </t>
  </si>
  <si>
    <t>Commercial Invoice No.</t>
  </si>
  <si>
    <t>B/L No.</t>
  </si>
  <si>
    <t xml:space="preserve">Consignee:  </t>
  </si>
  <si>
    <t>From:</t>
  </si>
  <si>
    <t>CITY CHIC COLLECTIVE LIMITED</t>
  </si>
  <si>
    <t>151-163 WYNDHAM STREET</t>
  </si>
  <si>
    <t xml:space="preserve"> ALEXANDRIA NSW 2015</t>
  </si>
  <si>
    <t>ETD:</t>
  </si>
  <si>
    <t>VESSEL:</t>
  </si>
  <si>
    <t xml:space="preserve"> </t>
  </si>
  <si>
    <t>VOY NO:</t>
  </si>
  <si>
    <t>COUNTRY OF ORIGIN:</t>
  </si>
  <si>
    <t xml:space="preserve">  China</t>
  </si>
  <si>
    <t>COL\SIZE</t>
  </si>
  <si>
    <t>PO Number</t>
  </si>
  <si>
    <t>Style Number</t>
  </si>
  <si>
    <t>Total units</t>
  </si>
  <si>
    <t>Total Gross Weight</t>
  </si>
  <si>
    <t>56×36×44</t>
  </si>
  <si>
    <t>REPLEN</t>
  </si>
  <si>
    <t>001097656</t>
  </si>
  <si>
    <t>00223925</t>
  </si>
  <si>
    <t>56×36×32.5</t>
  </si>
  <si>
    <t>56×36×22</t>
  </si>
  <si>
    <t xml:space="preserve">COMPOSITION: </t>
  </si>
  <si>
    <t>DESCRIPTION:</t>
  </si>
  <si>
    <t>HS Code</t>
  </si>
  <si>
    <t xml:space="preserve"> PACK CODE</t>
  </si>
  <si>
    <t>UPC</t>
  </si>
  <si>
    <t>Distribution channel</t>
  </si>
  <si>
    <t>CARTON NO.</t>
  </si>
  <si>
    <t>Brand</t>
  </si>
  <si>
    <t>COL/SIZE</t>
  </si>
  <si>
    <t>TOTAL PKS</t>
  </si>
  <si>
    <t>QUANTITY</t>
  </si>
  <si>
    <t>GROSS WEIGHT</t>
  </si>
  <si>
    <t>MEASUREMENT (CM)</t>
  </si>
  <si>
    <t>NET WEIGHT</t>
  </si>
  <si>
    <t xml:space="preserve">9361186094490       </t>
  </si>
  <si>
    <t>1</t>
  </si>
  <si>
    <t>CITY CHIC</t>
  </si>
  <si>
    <t xml:space="preserve">9361186094506       </t>
  </si>
  <si>
    <t>2</t>
  </si>
  <si>
    <t>3</t>
  </si>
  <si>
    <t xml:space="preserve">9361186096463       </t>
  </si>
  <si>
    <t>4</t>
  </si>
  <si>
    <t xml:space="preserve">9361186094520       </t>
  </si>
  <si>
    <t>5</t>
  </si>
  <si>
    <t xml:space="preserve">9361186094537       </t>
  </si>
  <si>
    <t>6</t>
  </si>
  <si>
    <t>7</t>
  </si>
  <si>
    <t xml:space="preserve">9361186094544       </t>
  </si>
  <si>
    <t>8</t>
  </si>
  <si>
    <t>9</t>
  </si>
  <si>
    <t>10</t>
  </si>
  <si>
    <t xml:space="preserve">9361186094551       </t>
  </si>
  <si>
    <t>11</t>
  </si>
  <si>
    <t>12</t>
  </si>
  <si>
    <t>13</t>
  </si>
  <si>
    <t>14</t>
  </si>
  <si>
    <t xml:space="preserve">9361186094568       </t>
  </si>
  <si>
    <t>15</t>
  </si>
  <si>
    <t>16</t>
  </si>
  <si>
    <t xml:space="preserve">9361186096470       </t>
  </si>
  <si>
    <t>17</t>
  </si>
  <si>
    <t>18</t>
  </si>
  <si>
    <t xml:space="preserve">9361186094582       </t>
  </si>
  <si>
    <t>19</t>
  </si>
  <si>
    <t>20</t>
  </si>
  <si>
    <t xml:space="preserve">9361186094599       </t>
  </si>
  <si>
    <t>21</t>
  </si>
  <si>
    <t>22</t>
  </si>
  <si>
    <t>23</t>
  </si>
  <si>
    <t>24</t>
  </si>
  <si>
    <t xml:space="preserve">9361186094605       </t>
  </si>
  <si>
    <t>25</t>
  </si>
  <si>
    <t>26</t>
  </si>
  <si>
    <t>27</t>
  </si>
  <si>
    <t>28</t>
  </si>
  <si>
    <t xml:space="preserve">9361186094612       </t>
  </si>
  <si>
    <t>29</t>
  </si>
  <si>
    <t>30</t>
  </si>
  <si>
    <t>31</t>
  </si>
  <si>
    <t>32</t>
  </si>
  <si>
    <t>33</t>
  </si>
  <si>
    <t>34</t>
  </si>
  <si>
    <t xml:space="preserve">9361186094629       </t>
  </si>
  <si>
    <t>35</t>
  </si>
  <si>
    <t>36</t>
  </si>
  <si>
    <t xml:space="preserve">9361186096487       </t>
  </si>
  <si>
    <t>37</t>
  </si>
  <si>
    <t>38</t>
  </si>
  <si>
    <t xml:space="preserve">9361186094643       </t>
  </si>
  <si>
    <t>39</t>
  </si>
  <si>
    <t xml:space="preserve">9361186094650       </t>
  </si>
  <si>
    <t>40</t>
  </si>
  <si>
    <t>41</t>
  </si>
  <si>
    <t>42</t>
  </si>
  <si>
    <t>43</t>
  </si>
  <si>
    <t xml:space="preserve">9361186094667       </t>
  </si>
  <si>
    <t>44</t>
  </si>
  <si>
    <t>45</t>
  </si>
  <si>
    <t>46</t>
  </si>
  <si>
    <t>47</t>
  </si>
  <si>
    <t>48</t>
  </si>
  <si>
    <t>49</t>
  </si>
  <si>
    <t>50</t>
  </si>
  <si>
    <t>51</t>
  </si>
  <si>
    <t xml:space="preserve">9361186094674       </t>
  </si>
  <si>
    <t>52</t>
  </si>
  <si>
    <t>53</t>
  </si>
  <si>
    <t>54</t>
  </si>
  <si>
    <t>55</t>
  </si>
  <si>
    <t xml:space="preserve">9361186094681       </t>
  </si>
  <si>
    <t>56</t>
  </si>
  <si>
    <t>57</t>
  </si>
  <si>
    <t>58</t>
  </si>
  <si>
    <t xml:space="preserve">9361186094698       </t>
  </si>
  <si>
    <t>59</t>
  </si>
  <si>
    <t>60</t>
  </si>
  <si>
    <t xml:space="preserve">9361186096494       </t>
  </si>
  <si>
    <t>61</t>
  </si>
  <si>
    <t>62</t>
  </si>
  <si>
    <t xml:space="preserve">9361186094711       </t>
  </si>
  <si>
    <t>63</t>
  </si>
  <si>
    <t xml:space="preserve">9361186094728       </t>
  </si>
  <si>
    <t>64</t>
  </si>
  <si>
    <t>65</t>
  </si>
  <si>
    <t>66</t>
  </si>
  <si>
    <t xml:space="preserve">9361186094735       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</si>
  <si>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</si>
  <si>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</si>
  <si>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</si>
  <si>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</si>
  <si>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</si>
  <si>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</si>
  <si>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</si>
  <si>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</si>
  <si>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</si>
  <si>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</si>
  <si>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 xml:space="preserve">9361186094742       </t>
  </si>
  <si>
    <t>77</t>
  </si>
  <si>
    <t>78</t>
  </si>
  <si>
    <t>79</t>
  </si>
  <si>
    <t>80</t>
  </si>
  <si>
    <t>81</t>
  </si>
  <si>
    <t>82</t>
  </si>
  <si>
    <t>83</t>
  </si>
  <si>
    <t xml:space="preserve">9361186094759       </t>
  </si>
  <si>
    <t>84</t>
  </si>
  <si>
    <t>85</t>
  </si>
  <si>
    <t>86</t>
  </si>
  <si>
    <t>87</t>
  </si>
  <si>
    <t>88</t>
  </si>
  <si>
    <t>89</t>
  </si>
  <si>
    <t>90</t>
  </si>
  <si>
    <t xml:space="preserve">9361186096500       </t>
  </si>
  <si>
    <t>91</t>
  </si>
  <si>
    <t>92</t>
  </si>
  <si>
    <t xml:space="preserve">9361186094773       </t>
  </si>
  <si>
    <t>93</t>
  </si>
  <si>
    <t>94</t>
  </si>
  <si>
    <t>95</t>
  </si>
  <si>
    <t xml:space="preserve">9361186094780       </t>
  </si>
  <si>
    <t>96</t>
  </si>
  <si>
    <t>97</t>
  </si>
  <si>
    <t>98</t>
  </si>
  <si>
    <t xml:space="preserve">9361186094797       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</si>
  <si>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</si>
  <si>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</si>
  <si>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</si>
  <si>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</si>
  <si>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</si>
  <si>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</si>
  <si>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</si>
  <si>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</si>
  <si>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</si>
  <si>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 xml:space="preserve">9361186094803       </t>
  </si>
  <si>
    <t>108</t>
  </si>
  <si>
    <t>109</t>
  </si>
  <si>
    <t>110</t>
  </si>
  <si>
    <t xml:space="preserve">9361186096517       </t>
  </si>
  <si>
    <t>111</t>
  </si>
  <si>
    <t>112</t>
  </si>
  <si>
    <t>113</t>
  </si>
  <si>
    <t>114</t>
  </si>
  <si>
    <t xml:space="preserve">9361186094827       </t>
  </si>
  <si>
    <t>115</t>
  </si>
  <si>
    <t>116</t>
  </si>
  <si>
    <t>117</t>
  </si>
  <si>
    <t xml:space="preserve">9361186094834       </t>
  </si>
  <si>
    <t>118</t>
  </si>
  <si>
    <t>119</t>
  </si>
  <si>
    <t>120</t>
  </si>
  <si>
    <t>121</t>
  </si>
  <si>
    <t xml:space="preserve">9361186094841       </t>
  </si>
  <si>
    <t>122</t>
  </si>
  <si>
    <t>123</t>
  </si>
  <si>
    <t>124</t>
  </si>
  <si>
    <t>125</t>
  </si>
  <si>
    <t>126</t>
  </si>
  <si>
    <t xml:space="preserve">9361186096524       </t>
  </si>
  <si>
    <t>127</t>
  </si>
  <si>
    <t>128</t>
  </si>
  <si>
    <t>129</t>
  </si>
  <si>
    <t>130</t>
  </si>
  <si>
    <t>Total</t>
  </si>
  <si>
    <t>Gran Total</t>
  </si>
  <si>
    <t>Supplier Signature</t>
  </si>
  <si>
    <t>Supplier Stamp</t>
  </si>
  <si>
    <t>001097657</t>
  </si>
  <si>
    <t>00223926</t>
  </si>
  <si>
    <t xml:space="preserve">9361186094865       </t>
  </si>
  <si>
    <t xml:space="preserve">9361186094872       </t>
  </si>
  <si>
    <t xml:space="preserve">9361186096531       </t>
  </si>
  <si>
    <t xml:space="preserve">9361186094896       </t>
  </si>
  <si>
    <t xml:space="preserve">9361186094902       </t>
  </si>
  <si>
    <t xml:space="preserve">9361186094919       </t>
  </si>
  <si>
    <t xml:space="preserve">9361186094926       </t>
  </si>
  <si>
    <t xml:space="preserve">9361186094933       </t>
  </si>
  <si>
    <t xml:space="preserve">9361186096548       </t>
  </si>
  <si>
    <t xml:space="preserve">9361186094957       </t>
  </si>
  <si>
    <t xml:space="preserve">9361186094964       </t>
  </si>
  <si>
    <t xml:space="preserve">9361186094971       </t>
  </si>
  <si>
    <t xml:space="preserve">9361186094988       </t>
  </si>
  <si>
    <t xml:space="preserve">9361186094995       </t>
  </si>
  <si>
    <t xml:space="preserve">9361186096555       </t>
  </si>
  <si>
    <t xml:space="preserve">9361186095015       </t>
  </si>
  <si>
    <t xml:space="preserve">9361186095022       </t>
  </si>
  <si>
    <t xml:space="preserve">9361186095039       </t>
  </si>
  <si>
    <t xml:space="preserve">9361186095046       </t>
  </si>
  <si>
    <t xml:space="preserve">9361186095053       </t>
  </si>
  <si>
    <t xml:space="preserve">9361186096562       </t>
  </si>
  <si>
    <t xml:space="preserve">9361186095077       </t>
  </si>
  <si>
    <t xml:space="preserve">9361186095084       </t>
  </si>
  <si>
    <t xml:space="preserve">9361186095091       </t>
  </si>
  <si>
    <t xml:space="preserve">9361186095107       </t>
  </si>
  <si>
    <t xml:space="preserve">9361186096579       </t>
  </si>
  <si>
    <t xml:space="preserve">9361186095121       </t>
  </si>
  <si>
    <t xml:space="preserve">9361186095138       </t>
  </si>
  <si>
    <t xml:space="preserve">9361186095145       </t>
  </si>
  <si>
    <t xml:space="preserve">9361186095152       </t>
  </si>
  <si>
    <t xml:space="preserve">9361186096586       </t>
  </si>
  <si>
    <t xml:space="preserve">9361186095176       </t>
  </si>
  <si>
    <t xml:space="preserve">9361186095183       </t>
  </si>
  <si>
    <t xml:space="preserve">9361186095190       </t>
  </si>
  <si>
    <t>131</t>
  </si>
  <si>
    <t>132</t>
  </si>
  <si>
    <t xml:space="preserve">9361186096593       </t>
  </si>
  <si>
    <t>133</t>
  </si>
  <si>
    <t>134</t>
  </si>
  <si>
    <t>135</t>
  </si>
  <si>
    <t>136</t>
  </si>
  <si>
    <r>
      <t>Unit7,12Flr,Vanta Industrial Ctr,21-33 Tai Lin Pai Road</t>
    </r>
    <r>
      <rPr>
        <sz val="14"/>
        <rFont val="宋体"/>
        <family val="3"/>
        <charset val="134"/>
      </rPr>
      <t>，</t>
    </r>
    <r>
      <rPr>
        <sz val="14"/>
        <rFont val="Arial"/>
        <family val="2"/>
      </rPr>
      <t>Kwai Chung HK</t>
    </r>
  </si>
  <si>
    <t>OI-25140B</t>
    <phoneticPr fontId="20" type="noConversion"/>
  </si>
  <si>
    <r>
      <t>Unit7,12Flr,Vanta Industrial Ctr,21-33 Tai Lin Pai Road</t>
    </r>
    <r>
      <rPr>
        <b/>
        <sz val="10"/>
        <rFont val="宋体"/>
        <charset val="134"/>
      </rPr>
      <t>，</t>
    </r>
    <r>
      <rPr>
        <b/>
        <sz val="10"/>
        <rFont val="Arial"/>
        <family val="2"/>
      </rPr>
      <t>Kwai Chung HK</t>
    </r>
  </si>
  <si>
    <t>BODYCON CT BRA</t>
    <phoneticPr fontId="14" type="noConversion"/>
  </si>
  <si>
    <t>71% POLYAMIDE 29% ELASTANE</t>
    <phoneticPr fontId="14" type="noConversion"/>
  </si>
  <si>
    <t>BODYCON CT BRA</t>
    <phoneticPr fontId="14" type="noConversion"/>
  </si>
  <si>
    <t>71% POLYAMIDE 29% ELASTANE</t>
    <phoneticPr fontId="14" type="noConversion"/>
  </si>
  <si>
    <t>B BLACK</t>
    <phoneticPr fontId="14" type="noConversion"/>
  </si>
  <si>
    <t>C BLACK</t>
    <phoneticPr fontId="14" type="noConversion"/>
  </si>
  <si>
    <t>D BLACK</t>
    <phoneticPr fontId="14" type="noConversion"/>
  </si>
  <si>
    <t>DD BLACK</t>
    <phoneticPr fontId="14" type="noConversion"/>
  </si>
  <si>
    <t>E BLACK</t>
    <phoneticPr fontId="14" type="noConversion"/>
  </si>
  <si>
    <t>F BLACK</t>
    <phoneticPr fontId="14" type="noConversion"/>
  </si>
  <si>
    <t>G BLACK</t>
    <phoneticPr fontId="14" type="noConversion"/>
  </si>
  <si>
    <t>B LATTE</t>
    <phoneticPr fontId="14" type="noConversion"/>
  </si>
  <si>
    <t>C LATTE</t>
    <phoneticPr fontId="14" type="noConversion"/>
  </si>
  <si>
    <t>D LATTE</t>
    <phoneticPr fontId="14" type="noConversion"/>
  </si>
  <si>
    <t>DD LATTE</t>
    <phoneticPr fontId="14" type="noConversion"/>
  </si>
  <si>
    <t>E LATTE</t>
    <phoneticPr fontId="14" type="noConversion"/>
  </si>
  <si>
    <t>F LATTE</t>
    <phoneticPr fontId="14" type="noConversion"/>
  </si>
  <si>
    <t>G LATTE</t>
    <phoneticPr fontId="14" type="noConversion"/>
  </si>
  <si>
    <t>TOTAL CARTONS:  266 CTNS.</t>
    <phoneticPr fontId="20" type="noConversion"/>
  </si>
  <si>
    <t>NET / GROSS WEIGHT: 949.65 / 1257.65 KGS</t>
    <phoneticPr fontId="20" type="noConversion"/>
  </si>
  <si>
    <t>CNSZX02082893</t>
    <phoneticPr fontId="14" type="noConversion"/>
  </si>
  <si>
    <t xml:space="preserve">PHOEBE </t>
    <phoneticPr fontId="14" type="noConversion"/>
  </si>
  <si>
    <t>0008S</t>
    <phoneticPr fontId="14" type="noConversion"/>
  </si>
  <si>
    <t>TOTAL CBM: 22.980 CBM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</si>
</sst>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$-409]#,##0.00"/>
    <numFmt numFmtId="177" formatCode="_ \¥* #,##0.00_ ;_ \¥* \-#,##0.00_ ;_ \¥* &quot;-&quot;??_ ;_ @_ "/>
    <numFmt numFmtId="178" formatCode="_-&quot;$&quot;* #,##0.00_-;\-&quot;$&quot;* #,##0.00_-;_-&quot;$&quot;* &quot;-&quot;??_-;_-@_-"/>
    <numFmt numFmtId="179" formatCode="0_);[Red]\(0\)"/>
    <numFmt numFmtId="180" formatCode="[$-409]dd/mmm/yy;@"/>
    <numFmt numFmtId="181" formatCode="0.00_);[Red]\(0.00\)"/>
    <numFmt numFmtId="182" formatCode="0.00_ "/>
    <numFmt numFmtId="183" formatCode="0.000;[Red]0.000"/>
    <numFmt numFmtId="184" formatCode="0.00;[Red]0.00"/>
  </numFmts>
  <fonts count="25">
    <font>
      <sz val="11"/>
      <color theme="1"/>
      <name val="新細明體"/>
      <charset val="134"/>
      <scheme val="minor"/>
    </font>
    <font>
      <sz val="18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新細明體"/>
      <family val="3"/>
      <charset val="134"/>
      <scheme val="minor"/>
    </font>
    <font>
      <sz val="12"/>
      <name val="宋体"/>
      <family val="3"/>
      <charset val="134"/>
    </font>
    <font>
      <u/>
      <sz val="11"/>
      <color theme="10"/>
      <name val="新細明體"/>
      <family val="3"/>
      <charset val="134"/>
      <scheme val="minor"/>
    </font>
    <font>
      <sz val="11"/>
      <color indexed="8"/>
      <name val="宋体"/>
      <family val="3"/>
      <charset val="134"/>
    </font>
    <font>
      <sz val="14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新細明體"/>
      <family val="3"/>
      <charset val="134"/>
      <scheme val="minor"/>
    </font>
    <font>
      <sz val="11"/>
      <color theme="1"/>
      <name val="新細明體"/>
      <family val="1"/>
      <charset val="136"/>
      <scheme val="minor"/>
    </font>
    <font>
      <u/>
      <sz val="12"/>
      <name val="新細明體"/>
      <family val="3"/>
      <charset val="134"/>
      <scheme val="minor"/>
    </font>
    <font>
      <sz val="11"/>
      <name val="新細明體"/>
      <family val="1"/>
      <charset val="136"/>
      <scheme val="minor"/>
    </font>
    <font>
      <b/>
      <sz val="10"/>
      <name val="Segoe UI"/>
      <family val="2"/>
    </font>
    <font>
      <sz val="12"/>
      <name val="Aharoni"/>
      <charset val="177"/>
    </font>
    <font>
      <sz val="9"/>
      <name val="新細明體"/>
      <family val="1"/>
      <charset val="136"/>
    </font>
    <font>
      <b/>
      <sz val="12"/>
      <name val="新細明體"/>
      <family val="1"/>
      <charset val="136"/>
      <scheme val="minor"/>
    </font>
    <font>
      <b/>
      <sz val="11"/>
      <name val="宋体"/>
      <charset val="134"/>
    </font>
    <font>
      <b/>
      <sz val="10"/>
      <name val="宋体"/>
      <charset val="134"/>
    </font>
    <font>
      <sz val="14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3">
    <xf numFmtId="176" fontId="0" fillId="0" borderId="0"/>
    <xf numFmtId="177" fontId="13" fillId="0" borderId="0" applyFont="0" applyFill="0" applyBorder="0" applyAlignment="0" applyProtection="0">
      <alignment vertical="center"/>
    </xf>
    <xf numFmtId="176" fontId="9" fillId="0" borderId="0"/>
    <xf numFmtId="0" fontId="9" fillId="0" borderId="0"/>
    <xf numFmtId="0" fontId="9" fillId="0" borderId="0"/>
    <xf numFmtId="0" fontId="10" fillId="0" borderId="0" applyNumberFormat="0" applyFill="0" applyBorder="0" applyAlignment="0" applyProtection="0"/>
    <xf numFmtId="176" fontId="9" fillId="0" borderId="0"/>
    <xf numFmtId="178" fontId="11" fillId="0" borderId="0" applyFont="0" applyFill="0" applyBorder="0" applyAlignment="0" applyProtection="0"/>
    <xf numFmtId="0" fontId="13" fillId="0" borderId="0"/>
    <xf numFmtId="0" fontId="9" fillId="0" borderId="0"/>
    <xf numFmtId="0" fontId="9" fillId="0" borderId="0">
      <alignment vertical="center"/>
    </xf>
    <xf numFmtId="0" fontId="9" fillId="0" borderId="0"/>
    <xf numFmtId="0" fontId="15" fillId="0" borderId="0"/>
  </cellStyleXfs>
  <cellXfs count="105">
    <xf numFmtId="176" fontId="0" fillId="0" borderId="0" xfId="0"/>
    <xf numFmtId="0" fontId="4" fillId="0" borderId="4" xfId="4" applyFont="1" applyBorder="1" applyAlignment="1">
      <alignment horizontal="left" vertical="center"/>
    </xf>
    <xf numFmtId="0" fontId="4" fillId="0" borderId="5" xfId="4" applyFont="1" applyBorder="1" applyAlignment="1">
      <alignment horizontal="left" vertical="center"/>
    </xf>
    <xf numFmtId="0" fontId="5" fillId="0" borderId="8" xfId="4" applyFont="1" applyBorder="1" applyAlignment="1" applyProtection="1">
      <alignment horizontal="left" vertical="center"/>
      <protection locked="0"/>
    </xf>
    <xf numFmtId="0" fontId="6" fillId="0" borderId="0" xfId="4" applyFont="1" applyAlignment="1" applyProtection="1">
      <alignment horizontal="left" vertical="center"/>
      <protection locked="0"/>
    </xf>
    <xf numFmtId="0" fontId="4" fillId="0" borderId="0" xfId="4" applyFont="1" applyAlignment="1" applyProtection="1">
      <alignment horizontal="left" vertical="center"/>
      <protection locked="0"/>
    </xf>
    <xf numFmtId="0" fontId="5" fillId="0" borderId="5" xfId="4" applyFont="1" applyBorder="1" applyAlignment="1">
      <alignment horizontal="left" vertical="center"/>
    </xf>
    <xf numFmtId="176" fontId="5" fillId="0" borderId="0" xfId="6" applyFont="1" applyAlignment="1" applyProtection="1">
      <alignment horizontal="left" vertical="center"/>
      <protection locked="0"/>
    </xf>
    <xf numFmtId="0" fontId="5" fillId="0" borderId="0" xfId="6" applyNumberFormat="1" applyFont="1" applyAlignment="1" applyProtection="1">
      <alignment horizontal="left" vertical="center"/>
      <protection locked="0"/>
    </xf>
    <xf numFmtId="0" fontId="5" fillId="0" borderId="0" xfId="4" applyFont="1" applyAlignment="1" applyProtection="1">
      <alignment horizontal="left" vertical="center"/>
      <protection locked="0"/>
    </xf>
    <xf numFmtId="176" fontId="5" fillId="0" borderId="11" xfId="6" applyFont="1" applyBorder="1" applyAlignment="1" applyProtection="1">
      <alignment horizontal="left" vertical="center"/>
      <protection locked="0"/>
    </xf>
    <xf numFmtId="0" fontId="5" fillId="0" borderId="11" xfId="6" applyNumberFormat="1" applyFont="1" applyBorder="1" applyAlignment="1" applyProtection="1">
      <alignment horizontal="left" vertical="center"/>
      <protection locked="0"/>
    </xf>
    <xf numFmtId="0" fontId="5" fillId="0" borderId="11" xfId="4" applyFont="1" applyBorder="1" applyAlignment="1" applyProtection="1">
      <alignment horizontal="left" vertical="center"/>
      <protection locked="0"/>
    </xf>
    <xf numFmtId="0" fontId="5" fillId="0" borderId="12" xfId="9" applyFont="1" applyBorder="1" applyAlignment="1">
      <alignment horizontal="left" vertical="center"/>
    </xf>
    <xf numFmtId="176" fontId="17" fillId="0" borderId="0" xfId="0" applyFont="1"/>
    <xf numFmtId="179" fontId="8" fillId="0" borderId="0" xfId="8" applyNumberFormat="1" applyFont="1"/>
    <xf numFmtId="0" fontId="8" fillId="0" borderId="0" xfId="8" applyFont="1"/>
    <xf numFmtId="0" fontId="8" fillId="0" borderId="0" xfId="8" applyFont="1" applyAlignment="1">
      <alignment vertical="center"/>
    </xf>
    <xf numFmtId="0" fontId="17" fillId="0" borderId="0" xfId="0" applyNumberFormat="1" applyFont="1"/>
    <xf numFmtId="0" fontId="17" fillId="0" borderId="11" xfId="0" applyNumberFormat="1" applyFont="1" applyBorder="1"/>
    <xf numFmtId="0" fontId="5" fillId="0" borderId="10" xfId="4" applyFont="1" applyBorder="1" applyAlignment="1" applyProtection="1">
      <alignment horizontal="left" vertical="center"/>
      <protection locked="0"/>
    </xf>
    <xf numFmtId="0" fontId="4" fillId="0" borderId="11" xfId="4" applyFont="1" applyBorder="1" applyAlignment="1" applyProtection="1">
      <alignment horizontal="left" vertical="center"/>
      <protection locked="0"/>
    </xf>
    <xf numFmtId="0" fontId="5" fillId="0" borderId="0" xfId="9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9" applyFont="1" applyAlignment="1">
      <alignment horizontal="center" vertical="center"/>
    </xf>
    <xf numFmtId="181" fontId="5" fillId="0" borderId="0" xfId="9" applyNumberFormat="1" applyFont="1" applyAlignment="1">
      <alignment horizontal="center" vertical="center"/>
    </xf>
    <xf numFmtId="0" fontId="5" fillId="0" borderId="6" xfId="11" applyFont="1" applyBorder="1" applyAlignment="1">
      <alignment horizontal="center" vertical="center" wrapText="1"/>
    </xf>
    <xf numFmtId="0" fontId="5" fillId="0" borderId="6" xfId="9" applyFont="1" applyBorder="1" applyAlignment="1">
      <alignment horizontal="center" vertical="center" wrapText="1"/>
    </xf>
    <xf numFmtId="0" fontId="5" fillId="0" borderId="13" xfId="9" applyFont="1" applyBorder="1" applyAlignment="1">
      <alignment horizontal="center" vertical="center" wrapText="1"/>
    </xf>
    <xf numFmtId="0" fontId="5" fillId="0" borderId="6" xfId="8" applyFont="1" applyBorder="1" applyAlignment="1">
      <alignment horizontal="center" wrapText="1"/>
    </xf>
    <xf numFmtId="179" fontId="8" fillId="0" borderId="0" xfId="0" applyNumberFormat="1" applyFont="1"/>
    <xf numFmtId="176" fontId="5" fillId="0" borderId="13" xfId="9" applyNumberFormat="1" applyFont="1" applyBorder="1" applyAlignment="1">
      <alignment horizontal="center" vertical="center" wrapText="1"/>
    </xf>
    <xf numFmtId="14" fontId="5" fillId="0" borderId="13" xfId="9" applyNumberFormat="1" applyFont="1" applyBorder="1" applyAlignment="1">
      <alignment horizontal="center" vertical="center" wrapText="1"/>
    </xf>
    <xf numFmtId="49" fontId="5" fillId="0" borderId="13" xfId="9" applyNumberFormat="1" applyFont="1" applyBorder="1" applyAlignment="1">
      <alignment horizontal="center" vertical="center" wrapText="1"/>
    </xf>
    <xf numFmtId="0" fontId="5" fillId="0" borderId="11" xfId="9" applyFont="1" applyBorder="1" applyAlignment="1">
      <alignment horizontal="center" vertical="center"/>
    </xf>
    <xf numFmtId="176" fontId="5" fillId="0" borderId="0" xfId="9" applyNumberFormat="1" applyFont="1" applyAlignment="1">
      <alignment horizontal="center" vertical="center" wrapText="1"/>
    </xf>
    <xf numFmtId="176" fontId="5" fillId="0" borderId="6" xfId="9" applyNumberFormat="1" applyFont="1" applyBorder="1" applyAlignment="1">
      <alignment horizontal="center" vertical="center" wrapText="1"/>
    </xf>
    <xf numFmtId="0" fontId="18" fillId="0" borderId="13" xfId="0" applyNumberFormat="1" applyFont="1" applyBorder="1" applyAlignment="1">
      <alignment horizontal="center" vertical="center" wrapText="1" readingOrder="1"/>
    </xf>
    <xf numFmtId="179" fontId="5" fillId="0" borderId="3" xfId="9" applyNumberFormat="1" applyFont="1" applyBorder="1" applyAlignment="1">
      <alignment horizontal="center" vertical="center" wrapText="1"/>
    </xf>
    <xf numFmtId="181" fontId="5" fillId="0" borderId="13" xfId="1" applyNumberFormat="1" applyFont="1" applyFill="1" applyBorder="1" applyAlignment="1">
      <alignment horizontal="center" vertical="center" wrapText="1"/>
    </xf>
    <xf numFmtId="0" fontId="4" fillId="0" borderId="13" xfId="9" applyFont="1" applyBorder="1" applyAlignment="1">
      <alignment horizontal="center" vertical="center" wrapText="1"/>
    </xf>
    <xf numFmtId="0" fontId="8" fillId="0" borderId="0" xfId="8" applyFont="1" applyAlignment="1">
      <alignment horizontal="center"/>
    </xf>
    <xf numFmtId="0" fontId="5" fillId="0" borderId="1" xfId="8" applyFont="1" applyBorder="1"/>
    <xf numFmtId="0" fontId="5" fillId="0" borderId="2" xfId="8" applyFont="1" applyBorder="1"/>
    <xf numFmtId="0" fontId="5" fillId="0" borderId="3" xfId="8" applyFont="1" applyBorder="1"/>
    <xf numFmtId="0" fontId="17" fillId="0" borderId="0" xfId="8" applyFont="1"/>
    <xf numFmtId="0" fontId="17" fillId="0" borderId="0" xfId="8" applyFont="1" applyAlignment="1">
      <alignment vertical="center"/>
    </xf>
    <xf numFmtId="179" fontId="17" fillId="0" borderId="0" xfId="8" applyNumberFormat="1" applyFont="1"/>
    <xf numFmtId="0" fontId="5" fillId="0" borderId="10" xfId="8" applyFont="1" applyBorder="1" applyAlignment="1">
      <alignment horizontal="left"/>
    </xf>
    <xf numFmtId="0" fontId="5" fillId="0" borderId="11" xfId="8" applyFont="1" applyBorder="1" applyAlignment="1">
      <alignment horizontal="left"/>
    </xf>
    <xf numFmtId="0" fontId="21" fillId="0" borderId="12" xfId="0" applyNumberFormat="1" applyFont="1" applyBorder="1"/>
    <xf numFmtId="0" fontId="21" fillId="0" borderId="5" xfId="0" applyNumberFormat="1" applyFont="1" applyBorder="1"/>
    <xf numFmtId="0" fontId="22" fillId="0" borderId="7" xfId="8" applyFont="1" applyBorder="1"/>
    <xf numFmtId="0" fontId="22" fillId="0" borderId="0" xfId="8" applyFont="1"/>
    <xf numFmtId="0" fontId="22" fillId="0" borderId="9" xfId="8" applyFont="1" applyBorder="1"/>
    <xf numFmtId="0" fontId="17" fillId="0" borderId="9" xfId="8" applyFont="1" applyBorder="1"/>
    <xf numFmtId="183" fontId="8" fillId="0" borderId="0" xfId="8" applyNumberFormat="1" applyFont="1"/>
    <xf numFmtId="0" fontId="4" fillId="2" borderId="13" xfId="9" applyFont="1" applyFill="1" applyBorder="1" applyAlignment="1">
      <alignment horizontal="center" vertical="center" wrapText="1"/>
    </xf>
    <xf numFmtId="184" fontId="4" fillId="2" borderId="13" xfId="9" applyNumberFormat="1" applyFont="1" applyFill="1" applyBorder="1" applyAlignment="1">
      <alignment horizontal="center" vertical="center" wrapText="1"/>
    </xf>
    <xf numFmtId="183" fontId="4" fillId="2" borderId="13" xfId="9" applyNumberFormat="1" applyFont="1" applyFill="1" applyBorder="1" applyAlignment="1">
      <alignment horizontal="center" vertical="center" wrapText="1"/>
    </xf>
    <xf numFmtId="182" fontId="5" fillId="0" borderId="13" xfId="9" applyNumberFormat="1" applyFont="1" applyBorder="1" applyAlignment="1">
      <alignment horizontal="center" vertical="center" wrapText="1"/>
    </xf>
    <xf numFmtId="0" fontId="17" fillId="0" borderId="0" xfId="8" applyFont="1" applyAlignment="1">
      <alignment horizontal="center"/>
    </xf>
    <xf numFmtId="176" fontId="5" fillId="0" borderId="0" xfId="6" applyFont="1" applyAlignment="1">
      <alignment horizontal="left" vertical="center"/>
    </xf>
    <xf numFmtId="0" fontId="24" fillId="0" borderId="0" xfId="12" applyFont="1"/>
    <xf numFmtId="184" fontId="4" fillId="0" borderId="13" xfId="9" applyNumberFormat="1" applyFont="1" applyBorder="1" applyAlignment="1">
      <alignment horizontal="center" vertical="center" wrapText="1"/>
    </xf>
    <xf numFmtId="183" fontId="4" fillId="0" borderId="13" xfId="9" applyNumberFormat="1" applyFont="1" applyBorder="1" applyAlignment="1">
      <alignment horizontal="center" vertical="center" wrapText="1"/>
    </xf>
    <xf numFmtId="179" fontId="5" fillId="0" borderId="15" xfId="9" applyNumberFormat="1" applyFont="1" applyBorder="1" applyAlignment="1">
      <alignment horizontal="center" vertical="center" wrapText="1"/>
    </xf>
    <xf numFmtId="0" fontId="1" fillId="0" borderId="0" xfId="8" applyFont="1" applyAlignment="1">
      <alignment horizontal="center" vertical="center"/>
    </xf>
    <xf numFmtId="0" fontId="19" fillId="2" borderId="1" xfId="8" applyFont="1" applyFill="1" applyBorder="1" applyAlignment="1">
      <alignment horizontal="center"/>
    </xf>
    <xf numFmtId="0" fontId="19" fillId="2" borderId="2" xfId="8" applyFont="1" applyFill="1" applyBorder="1" applyAlignment="1">
      <alignment horizontal="center"/>
    </xf>
    <xf numFmtId="0" fontId="19" fillId="2" borderId="3" xfId="8" applyFont="1" applyFill="1" applyBorder="1" applyAlignment="1">
      <alignment horizontal="center"/>
    </xf>
    <xf numFmtId="0" fontId="7" fillId="0" borderId="1" xfId="9" applyFont="1" applyBorder="1" applyAlignment="1">
      <alignment horizontal="center" vertical="center"/>
    </xf>
    <xf numFmtId="0" fontId="7" fillId="0" borderId="2" xfId="9" applyFont="1" applyBorder="1" applyAlignment="1">
      <alignment horizontal="center" vertical="center"/>
    </xf>
    <xf numFmtId="0" fontId="7" fillId="0" borderId="3" xfId="9" applyFont="1" applyBorder="1" applyAlignment="1">
      <alignment horizontal="center" vertical="center"/>
    </xf>
    <xf numFmtId="0" fontId="8" fillId="0" borderId="2" xfId="8" applyFont="1" applyBorder="1" applyAlignment="1">
      <alignment horizontal="center"/>
    </xf>
    <xf numFmtId="0" fontId="8" fillId="0" borderId="3" xfId="8" applyFont="1" applyBorder="1" applyAlignment="1">
      <alignment horizontal="center"/>
    </xf>
    <xf numFmtId="179" fontId="5" fillId="0" borderId="14" xfId="9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180" fontId="5" fillId="0" borderId="2" xfId="3" applyNumberFormat="1" applyFont="1" applyBorder="1" applyAlignment="1">
      <alignment horizontal="center" vertical="center"/>
    </xf>
    <xf numFmtId="180" fontId="5" fillId="0" borderId="3" xfId="3" applyNumberFormat="1" applyFont="1" applyBorder="1" applyAlignment="1">
      <alignment horizontal="center" vertical="center"/>
    </xf>
    <xf numFmtId="0" fontId="2" fillId="0" borderId="0" xfId="8" applyFont="1" applyAlignment="1">
      <alignment horizontal="center" vertical="center"/>
    </xf>
    <xf numFmtId="0" fontId="16" fillId="0" borderId="0" xfId="5" applyFont="1" applyFill="1" applyAlignment="1">
      <alignment horizontal="center" vertical="center"/>
    </xf>
    <xf numFmtId="0" fontId="3" fillId="0" borderId="0" xfId="8" applyFont="1" applyAlignment="1">
      <alignment horizontal="center" vertical="center"/>
    </xf>
    <xf numFmtId="49" fontId="5" fillId="0" borderId="2" xfId="8" applyNumberFormat="1" applyFont="1" applyBorder="1" applyAlignment="1">
      <alignment horizontal="left"/>
    </xf>
    <xf numFmtId="0" fontId="5" fillId="0" borderId="2" xfId="8" applyFont="1" applyBorder="1" applyAlignment="1">
      <alignment horizontal="left"/>
    </xf>
    <xf numFmtId="0" fontId="5" fillId="0" borderId="3" xfId="8" applyFont="1" applyBorder="1" applyAlignment="1">
      <alignment horizontal="center"/>
    </xf>
    <xf numFmtId="0" fontId="5" fillId="0" borderId="5" xfId="8" applyFont="1" applyFill="1" applyBorder="1"/>
    <xf numFmtId="0" fontId="5" fillId="0" borderId="7" xfId="8" applyFont="1" applyFill="1" applyBorder="1"/>
    <xf numFmtId="0" fontId="17" fillId="0" borderId="0" xfId="8" applyFont="1" applyFill="1"/>
    <xf numFmtId="0" fontId="5" fillId="0" borderId="4" xfId="4" applyFont="1" applyFill="1" applyBorder="1" applyAlignment="1">
      <alignment horizontal="left" vertical="center"/>
    </xf>
    <xf numFmtId="0" fontId="4" fillId="0" borderId="5" xfId="4" applyFont="1" applyFill="1" applyBorder="1" applyAlignment="1">
      <alignment horizontal="left" vertical="center"/>
    </xf>
    <xf numFmtId="0" fontId="6" fillId="0" borderId="7" xfId="8" applyFont="1" applyFill="1" applyBorder="1" applyAlignment="1">
      <alignment horizontal="center"/>
    </xf>
    <xf numFmtId="176" fontId="5" fillId="0" borderId="8" xfId="6" applyFont="1" applyFill="1" applyBorder="1" applyAlignment="1" applyProtection="1">
      <alignment horizontal="left" vertical="center"/>
      <protection locked="0"/>
    </xf>
    <xf numFmtId="0" fontId="4" fillId="0" borderId="0" xfId="4" applyFont="1" applyFill="1" applyAlignment="1">
      <alignment horizontal="left" vertical="center"/>
    </xf>
    <xf numFmtId="0" fontId="17" fillId="0" borderId="9" xfId="8" applyFont="1" applyFill="1" applyBorder="1" applyAlignment="1">
      <alignment horizontal="center"/>
    </xf>
    <xf numFmtId="176" fontId="5" fillId="0" borderId="10" xfId="6" applyFont="1" applyFill="1" applyBorder="1" applyAlignment="1" applyProtection="1">
      <alignment horizontal="left" vertical="center"/>
      <protection locked="0"/>
    </xf>
    <xf numFmtId="0" fontId="4" fillId="0" borderId="11" xfId="4" applyFont="1" applyFill="1" applyBorder="1" applyAlignment="1">
      <alignment horizontal="left" vertical="center"/>
    </xf>
    <xf numFmtId="0" fontId="5" fillId="0" borderId="12" xfId="9" applyFont="1" applyFill="1" applyBorder="1" applyAlignment="1">
      <alignment horizontal="center" vertical="center"/>
    </xf>
    <xf numFmtId="0" fontId="5" fillId="0" borderId="0" xfId="9" applyFont="1" applyFill="1" applyAlignment="1">
      <alignment horizontal="left" vertical="center"/>
    </xf>
    <xf numFmtId="176" fontId="5" fillId="0" borderId="0" xfId="6" applyFont="1" applyFill="1" applyAlignment="1" applyProtection="1">
      <alignment horizontal="left" vertical="center"/>
      <protection locked="0"/>
    </xf>
    <xf numFmtId="0" fontId="5" fillId="0" borderId="0" xfId="9" applyFont="1" applyFill="1" applyAlignment="1">
      <alignment horizontal="center" vertical="center"/>
    </xf>
    <xf numFmtId="180" fontId="5" fillId="0" borderId="2" xfId="3" applyNumberFormat="1" applyFont="1" applyFill="1" applyBorder="1" applyAlignment="1">
      <alignment horizontal="center" vertical="center"/>
    </xf>
    <xf numFmtId="0" fontId="5" fillId="0" borderId="2" xfId="3" applyFont="1" applyFill="1" applyBorder="1" applyAlignment="1">
      <alignment horizontal="center" vertical="center"/>
    </xf>
    <xf numFmtId="180" fontId="5" fillId="0" borderId="3" xfId="3" applyNumberFormat="1" applyFont="1" applyFill="1" applyBorder="1" applyAlignment="1">
      <alignment horizontal="center" vertical="center"/>
    </xf>
  </cellXfs>
  <cellStyles count="13">
    <cellStyle name="Currency 2" xfId="7" xr:uid="{00000000-0005-0000-0000-000000000000}"/>
    <cellStyle name="Hyperlink 2" xfId="5" xr:uid="{00000000-0005-0000-0000-000001000000}"/>
    <cellStyle name="Normal 2" xfId="6" xr:uid="{00000000-0005-0000-0000-000002000000}"/>
    <cellStyle name="Normal 2 6" xfId="4" xr:uid="{00000000-0005-0000-0000-000003000000}"/>
    <cellStyle name="Normal 25" xfId="8" xr:uid="{00000000-0005-0000-0000-000004000000}"/>
    <cellStyle name="一般" xfId="0" builtinId="0"/>
    <cellStyle name="一般 2" xfId="12" xr:uid="{7077870E-C0A1-439C-B00C-9BFAE8E54649}"/>
    <cellStyle name="常规 2" xfId="10" xr:uid="{00000000-0005-0000-0000-000006000000}"/>
    <cellStyle name="常规 2 3 3" xfId="2" xr:uid="{00000000-0005-0000-0000-000007000000}"/>
    <cellStyle name="常规 2 3 3 2" xfId="9" xr:uid="{00000000-0005-0000-0000-000008000000}"/>
    <cellStyle name="常规 4 2 2 2" xfId="3" xr:uid="{00000000-0005-0000-0000-000009000000}"/>
    <cellStyle name="常规 5 2 2 2" xfId="11" xr:uid="{00000000-0005-0000-0000-00000A000000}"/>
    <cellStyle name="貨幣" xfId="1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912720</xdr:colOff>
      <xdr:row>294</xdr:row>
      <xdr:rowOff>24653</xdr:rowOff>
    </xdr:from>
    <xdr:to>
      <xdr:col>5</xdr:col>
      <xdr:colOff>414618</xdr:colOff>
      <xdr:row>300</xdr:row>
      <xdr:rowOff>88764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8C13412-0416-453D-8011-64D6B163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0573" y="32532918"/>
          <a:ext cx="1216398" cy="1341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B301"/>
  <sheetViews>
    <sheetView tabSelected="1" topLeftCell="A273" zoomScale="85" zoomScaleNormal="85" zoomScaleSheetLayoutView="85" workbookViewId="0">
      <selection activeCell="A297" sqref="A297"/>
    </sheetView>
  </sheetViews>
  <sheetFormatPr defaultColWidth="9" defaultRowHeight="15.75"/>
  <cols>
    <col min="1" max="1" width="13.140625" style="16" customWidth="1"/>
    <col min="2" max="2" width="12.140625" style="16" customWidth="1"/>
    <col min="3" max="3" width="16.28515625" style="16" customWidth="1"/>
    <col min="4" max="4" width="13.85546875" style="16" customWidth="1"/>
    <col min="5" max="5" width="12" style="16" customWidth="1"/>
    <col min="6" max="6" width="10.42578125" style="16" customWidth="1"/>
    <col min="7" max="7" width="17" style="41" customWidth="1"/>
    <col min="8" max="8" width="14.42578125" style="16" customWidth="1"/>
    <col min="9" max="9" width="10" style="16" customWidth="1"/>
    <col min="10" max="10" width="13.42578125" style="16" customWidth="1"/>
    <col min="11" max="11" width="15.7109375" style="17" customWidth="1"/>
    <col min="12" max="12" width="11" style="16" customWidth="1"/>
    <col min="13" max="13" width="9.42578125" style="16" customWidth="1"/>
    <col min="14" max="17" width="6.42578125" style="16" customWidth="1"/>
    <col min="18" max="18" width="6.5703125" style="16" customWidth="1"/>
    <col min="19" max="20" width="6.42578125" style="16" customWidth="1"/>
    <col min="21" max="21" width="9.42578125" style="16" customWidth="1"/>
    <col min="22" max="22" width="11.140625" style="16" customWidth="1"/>
    <col min="23" max="23" width="10.140625" style="16" customWidth="1"/>
    <col min="24" max="24" width="14.42578125" style="16" customWidth="1"/>
    <col min="25" max="25" width="8.85546875" style="16" customWidth="1"/>
    <col min="26" max="26" width="9" style="15"/>
    <col min="27" max="27" width="15.85546875" style="16" customWidth="1"/>
    <col min="28" max="258" width="9" style="16"/>
    <col min="259" max="259" width="13.140625" style="16" customWidth="1"/>
    <col min="260" max="260" width="14.42578125" style="16" customWidth="1"/>
    <col min="261" max="261" width="17.85546875" style="16" customWidth="1"/>
    <col min="262" max="262" width="14.42578125" style="16" customWidth="1"/>
    <col min="263" max="263" width="12.5703125" style="16" customWidth="1"/>
    <col min="264" max="265" width="14.42578125" style="16" customWidth="1"/>
    <col min="266" max="266" width="9.42578125" style="16" customWidth="1"/>
    <col min="267" max="267" width="7" style="16" customWidth="1"/>
    <col min="268" max="268" width="10.5703125" style="16" customWidth="1"/>
    <col min="269" max="269" width="10.42578125" style="16" customWidth="1"/>
    <col min="270" max="270" width="10" style="16" customWidth="1"/>
    <col min="271" max="271" width="9.42578125" style="16" customWidth="1"/>
    <col min="272" max="276" width="7.42578125" style="16" customWidth="1"/>
    <col min="277" max="278" width="6.85546875" style="16" customWidth="1"/>
    <col min="279" max="279" width="8" style="16" customWidth="1"/>
    <col min="280" max="280" width="12.42578125" style="16" customWidth="1"/>
    <col min="281" max="281" width="8.85546875" style="16" customWidth="1"/>
    <col min="282" max="514" width="9" style="16"/>
    <col min="515" max="515" width="13.140625" style="16" customWidth="1"/>
    <col min="516" max="516" width="14.42578125" style="16" customWidth="1"/>
    <col min="517" max="517" width="17.85546875" style="16" customWidth="1"/>
    <col min="518" max="518" width="14.42578125" style="16" customWidth="1"/>
    <col min="519" max="519" width="12.5703125" style="16" customWidth="1"/>
    <col min="520" max="521" width="14.42578125" style="16" customWidth="1"/>
    <col min="522" max="522" width="9.42578125" style="16" customWidth="1"/>
    <col min="523" max="523" width="7" style="16" customWidth="1"/>
    <col min="524" max="524" width="10.5703125" style="16" customWidth="1"/>
    <col min="525" max="525" width="10.42578125" style="16" customWidth="1"/>
    <col min="526" max="526" width="10" style="16" customWidth="1"/>
    <col min="527" max="527" width="9.42578125" style="16" customWidth="1"/>
    <col min="528" max="532" width="7.42578125" style="16" customWidth="1"/>
    <col min="533" max="534" width="6.85546875" style="16" customWidth="1"/>
    <col min="535" max="535" width="8" style="16" customWidth="1"/>
    <col min="536" max="536" width="12.42578125" style="16" customWidth="1"/>
    <col min="537" max="537" width="8.85546875" style="16" customWidth="1"/>
    <col min="538" max="770" width="9" style="16"/>
    <col min="771" max="771" width="13.140625" style="16" customWidth="1"/>
    <col min="772" max="772" width="14.42578125" style="16" customWidth="1"/>
    <col min="773" max="773" width="17.85546875" style="16" customWidth="1"/>
    <col min="774" max="774" width="14.42578125" style="16" customWidth="1"/>
    <col min="775" max="775" width="12.5703125" style="16" customWidth="1"/>
    <col min="776" max="777" width="14.42578125" style="16" customWidth="1"/>
    <col min="778" max="778" width="9.42578125" style="16" customWidth="1"/>
    <col min="779" max="779" width="7" style="16" customWidth="1"/>
    <col min="780" max="780" width="10.5703125" style="16" customWidth="1"/>
    <col min="781" max="781" width="10.42578125" style="16" customWidth="1"/>
    <col min="782" max="782" width="10" style="16" customWidth="1"/>
    <col min="783" max="783" width="9.42578125" style="16" customWidth="1"/>
    <col min="784" max="788" width="7.42578125" style="16" customWidth="1"/>
    <col min="789" max="790" width="6.85546875" style="16" customWidth="1"/>
    <col min="791" max="791" width="8" style="16" customWidth="1"/>
    <col min="792" max="792" width="12.42578125" style="16" customWidth="1"/>
    <col min="793" max="793" width="8.85546875" style="16" customWidth="1"/>
    <col min="794" max="1026" width="9" style="16"/>
    <col min="1027" max="1027" width="13.140625" style="16" customWidth="1"/>
    <col min="1028" max="1028" width="14.42578125" style="16" customWidth="1"/>
    <col min="1029" max="1029" width="17.85546875" style="16" customWidth="1"/>
    <col min="1030" max="1030" width="14.42578125" style="16" customWidth="1"/>
    <col min="1031" max="1031" width="12.5703125" style="16" customWidth="1"/>
    <col min="1032" max="1033" width="14.42578125" style="16" customWidth="1"/>
    <col min="1034" max="1034" width="9.42578125" style="16" customWidth="1"/>
    <col min="1035" max="1035" width="7" style="16" customWidth="1"/>
    <col min="1036" max="1036" width="10.5703125" style="16" customWidth="1"/>
    <col min="1037" max="1037" width="10.42578125" style="16" customWidth="1"/>
    <col min="1038" max="1038" width="10" style="16" customWidth="1"/>
    <col min="1039" max="1039" width="9.42578125" style="16" customWidth="1"/>
    <col min="1040" max="1044" width="7.42578125" style="16" customWidth="1"/>
    <col min="1045" max="1046" width="6.85546875" style="16" customWidth="1"/>
    <col min="1047" max="1047" width="8" style="16" customWidth="1"/>
    <col min="1048" max="1048" width="12.42578125" style="16" customWidth="1"/>
    <col min="1049" max="1049" width="8.85546875" style="16" customWidth="1"/>
    <col min="1050" max="1282" width="9" style="16"/>
    <col min="1283" max="1283" width="13.140625" style="16" customWidth="1"/>
    <col min="1284" max="1284" width="14.42578125" style="16" customWidth="1"/>
    <col min="1285" max="1285" width="17.85546875" style="16" customWidth="1"/>
    <col min="1286" max="1286" width="14.42578125" style="16" customWidth="1"/>
    <col min="1287" max="1287" width="12.5703125" style="16" customWidth="1"/>
    <col min="1288" max="1289" width="14.42578125" style="16" customWidth="1"/>
    <col min="1290" max="1290" width="9.42578125" style="16" customWidth="1"/>
    <col min="1291" max="1291" width="7" style="16" customWidth="1"/>
    <col min="1292" max="1292" width="10.5703125" style="16" customWidth="1"/>
    <col min="1293" max="1293" width="10.42578125" style="16" customWidth="1"/>
    <col min="1294" max="1294" width="10" style="16" customWidth="1"/>
    <col min="1295" max="1295" width="9.42578125" style="16" customWidth="1"/>
    <col min="1296" max="1300" width="7.42578125" style="16" customWidth="1"/>
    <col min="1301" max="1302" width="6.85546875" style="16" customWidth="1"/>
    <col min="1303" max="1303" width="8" style="16" customWidth="1"/>
    <col min="1304" max="1304" width="12.42578125" style="16" customWidth="1"/>
    <col min="1305" max="1305" width="8.85546875" style="16" customWidth="1"/>
    <col min="1306" max="1538" width="9" style="16"/>
    <col min="1539" max="1539" width="13.140625" style="16" customWidth="1"/>
    <col min="1540" max="1540" width="14.42578125" style="16" customWidth="1"/>
    <col min="1541" max="1541" width="17.85546875" style="16" customWidth="1"/>
    <col min="1542" max="1542" width="14.42578125" style="16" customWidth="1"/>
    <col min="1543" max="1543" width="12.5703125" style="16" customWidth="1"/>
    <col min="1544" max="1545" width="14.42578125" style="16" customWidth="1"/>
    <col min="1546" max="1546" width="9.42578125" style="16" customWidth="1"/>
    <col min="1547" max="1547" width="7" style="16" customWidth="1"/>
    <col min="1548" max="1548" width="10.5703125" style="16" customWidth="1"/>
    <col min="1549" max="1549" width="10.42578125" style="16" customWidth="1"/>
    <col min="1550" max="1550" width="10" style="16" customWidth="1"/>
    <col min="1551" max="1551" width="9.42578125" style="16" customWidth="1"/>
    <col min="1552" max="1556" width="7.42578125" style="16" customWidth="1"/>
    <col min="1557" max="1558" width="6.85546875" style="16" customWidth="1"/>
    <col min="1559" max="1559" width="8" style="16" customWidth="1"/>
    <col min="1560" max="1560" width="12.42578125" style="16" customWidth="1"/>
    <col min="1561" max="1561" width="8.85546875" style="16" customWidth="1"/>
    <col min="1562" max="1794" width="9" style="16"/>
    <col min="1795" max="1795" width="13.140625" style="16" customWidth="1"/>
    <col min="1796" max="1796" width="14.42578125" style="16" customWidth="1"/>
    <col min="1797" max="1797" width="17.85546875" style="16" customWidth="1"/>
    <col min="1798" max="1798" width="14.42578125" style="16" customWidth="1"/>
    <col min="1799" max="1799" width="12.5703125" style="16" customWidth="1"/>
    <col min="1800" max="1801" width="14.42578125" style="16" customWidth="1"/>
    <col min="1802" max="1802" width="9.42578125" style="16" customWidth="1"/>
    <col min="1803" max="1803" width="7" style="16" customWidth="1"/>
    <col min="1804" max="1804" width="10.5703125" style="16" customWidth="1"/>
    <col min="1805" max="1805" width="10.42578125" style="16" customWidth="1"/>
    <col min="1806" max="1806" width="10" style="16" customWidth="1"/>
    <col min="1807" max="1807" width="9.42578125" style="16" customWidth="1"/>
    <col min="1808" max="1812" width="7.42578125" style="16" customWidth="1"/>
    <col min="1813" max="1814" width="6.85546875" style="16" customWidth="1"/>
    <col min="1815" max="1815" width="8" style="16" customWidth="1"/>
    <col min="1816" max="1816" width="12.42578125" style="16" customWidth="1"/>
    <col min="1817" max="1817" width="8.85546875" style="16" customWidth="1"/>
    <col min="1818" max="2050" width="9" style="16"/>
    <col min="2051" max="2051" width="13.140625" style="16" customWidth="1"/>
    <col min="2052" max="2052" width="14.42578125" style="16" customWidth="1"/>
    <col min="2053" max="2053" width="17.85546875" style="16" customWidth="1"/>
    <col min="2054" max="2054" width="14.42578125" style="16" customWidth="1"/>
    <col min="2055" max="2055" width="12.5703125" style="16" customWidth="1"/>
    <col min="2056" max="2057" width="14.42578125" style="16" customWidth="1"/>
    <col min="2058" max="2058" width="9.42578125" style="16" customWidth="1"/>
    <col min="2059" max="2059" width="7" style="16" customWidth="1"/>
    <col min="2060" max="2060" width="10.5703125" style="16" customWidth="1"/>
    <col min="2061" max="2061" width="10.42578125" style="16" customWidth="1"/>
    <col min="2062" max="2062" width="10" style="16" customWidth="1"/>
    <col min="2063" max="2063" width="9.42578125" style="16" customWidth="1"/>
    <col min="2064" max="2068" width="7.42578125" style="16" customWidth="1"/>
    <col min="2069" max="2070" width="6.85546875" style="16" customWidth="1"/>
    <col min="2071" max="2071" width="8" style="16" customWidth="1"/>
    <col min="2072" max="2072" width="12.42578125" style="16" customWidth="1"/>
    <col min="2073" max="2073" width="8.85546875" style="16" customWidth="1"/>
    <col min="2074" max="2306" width="9" style="16"/>
    <col min="2307" max="2307" width="13.140625" style="16" customWidth="1"/>
    <col min="2308" max="2308" width="14.42578125" style="16" customWidth="1"/>
    <col min="2309" max="2309" width="17.85546875" style="16" customWidth="1"/>
    <col min="2310" max="2310" width="14.42578125" style="16" customWidth="1"/>
    <col min="2311" max="2311" width="12.5703125" style="16" customWidth="1"/>
    <col min="2312" max="2313" width="14.42578125" style="16" customWidth="1"/>
    <col min="2314" max="2314" width="9.42578125" style="16" customWidth="1"/>
    <col min="2315" max="2315" width="7" style="16" customWidth="1"/>
    <col min="2316" max="2316" width="10.5703125" style="16" customWidth="1"/>
    <col min="2317" max="2317" width="10.42578125" style="16" customWidth="1"/>
    <col min="2318" max="2318" width="10" style="16" customWidth="1"/>
    <col min="2319" max="2319" width="9.42578125" style="16" customWidth="1"/>
    <col min="2320" max="2324" width="7.42578125" style="16" customWidth="1"/>
    <col min="2325" max="2326" width="6.85546875" style="16" customWidth="1"/>
    <col min="2327" max="2327" width="8" style="16" customWidth="1"/>
    <col min="2328" max="2328" width="12.42578125" style="16" customWidth="1"/>
    <col min="2329" max="2329" width="8.85546875" style="16" customWidth="1"/>
    <col min="2330" max="2562" width="9" style="16"/>
    <col min="2563" max="2563" width="13.140625" style="16" customWidth="1"/>
    <col min="2564" max="2564" width="14.42578125" style="16" customWidth="1"/>
    <col min="2565" max="2565" width="17.85546875" style="16" customWidth="1"/>
    <col min="2566" max="2566" width="14.42578125" style="16" customWidth="1"/>
    <col min="2567" max="2567" width="12.5703125" style="16" customWidth="1"/>
    <col min="2568" max="2569" width="14.42578125" style="16" customWidth="1"/>
    <col min="2570" max="2570" width="9.42578125" style="16" customWidth="1"/>
    <col min="2571" max="2571" width="7" style="16" customWidth="1"/>
    <col min="2572" max="2572" width="10.5703125" style="16" customWidth="1"/>
    <col min="2573" max="2573" width="10.42578125" style="16" customWidth="1"/>
    <col min="2574" max="2574" width="10" style="16" customWidth="1"/>
    <col min="2575" max="2575" width="9.42578125" style="16" customWidth="1"/>
    <col min="2576" max="2580" width="7.42578125" style="16" customWidth="1"/>
    <col min="2581" max="2582" width="6.85546875" style="16" customWidth="1"/>
    <col min="2583" max="2583" width="8" style="16" customWidth="1"/>
    <col min="2584" max="2584" width="12.42578125" style="16" customWidth="1"/>
    <col min="2585" max="2585" width="8.85546875" style="16" customWidth="1"/>
    <col min="2586" max="2818" width="9" style="16"/>
    <col min="2819" max="2819" width="13.140625" style="16" customWidth="1"/>
    <col min="2820" max="2820" width="14.42578125" style="16" customWidth="1"/>
    <col min="2821" max="2821" width="17.85546875" style="16" customWidth="1"/>
    <col min="2822" max="2822" width="14.42578125" style="16" customWidth="1"/>
    <col min="2823" max="2823" width="12.5703125" style="16" customWidth="1"/>
    <col min="2824" max="2825" width="14.42578125" style="16" customWidth="1"/>
    <col min="2826" max="2826" width="9.42578125" style="16" customWidth="1"/>
    <col min="2827" max="2827" width="7" style="16" customWidth="1"/>
    <col min="2828" max="2828" width="10.5703125" style="16" customWidth="1"/>
    <col min="2829" max="2829" width="10.42578125" style="16" customWidth="1"/>
    <col min="2830" max="2830" width="10" style="16" customWidth="1"/>
    <col min="2831" max="2831" width="9.42578125" style="16" customWidth="1"/>
    <col min="2832" max="2836" width="7.42578125" style="16" customWidth="1"/>
    <col min="2837" max="2838" width="6.85546875" style="16" customWidth="1"/>
    <col min="2839" max="2839" width="8" style="16" customWidth="1"/>
    <col min="2840" max="2840" width="12.42578125" style="16" customWidth="1"/>
    <col min="2841" max="2841" width="8.85546875" style="16" customWidth="1"/>
    <col min="2842" max="3074" width="9" style="16"/>
    <col min="3075" max="3075" width="13.140625" style="16" customWidth="1"/>
    <col min="3076" max="3076" width="14.42578125" style="16" customWidth="1"/>
    <col min="3077" max="3077" width="17.85546875" style="16" customWidth="1"/>
    <col min="3078" max="3078" width="14.42578125" style="16" customWidth="1"/>
    <col min="3079" max="3079" width="12.5703125" style="16" customWidth="1"/>
    <col min="3080" max="3081" width="14.42578125" style="16" customWidth="1"/>
    <col min="3082" max="3082" width="9.42578125" style="16" customWidth="1"/>
    <col min="3083" max="3083" width="7" style="16" customWidth="1"/>
    <col min="3084" max="3084" width="10.5703125" style="16" customWidth="1"/>
    <col min="3085" max="3085" width="10.42578125" style="16" customWidth="1"/>
    <col min="3086" max="3086" width="10" style="16" customWidth="1"/>
    <col min="3087" max="3087" width="9.42578125" style="16" customWidth="1"/>
    <col min="3088" max="3092" width="7.42578125" style="16" customWidth="1"/>
    <col min="3093" max="3094" width="6.85546875" style="16" customWidth="1"/>
    <col min="3095" max="3095" width="8" style="16" customWidth="1"/>
    <col min="3096" max="3096" width="12.42578125" style="16" customWidth="1"/>
    <col min="3097" max="3097" width="8.85546875" style="16" customWidth="1"/>
    <col min="3098" max="3330" width="9" style="16"/>
    <col min="3331" max="3331" width="13.140625" style="16" customWidth="1"/>
    <col min="3332" max="3332" width="14.42578125" style="16" customWidth="1"/>
    <col min="3333" max="3333" width="17.85546875" style="16" customWidth="1"/>
    <col min="3334" max="3334" width="14.42578125" style="16" customWidth="1"/>
    <col min="3335" max="3335" width="12.5703125" style="16" customWidth="1"/>
    <col min="3336" max="3337" width="14.42578125" style="16" customWidth="1"/>
    <col min="3338" max="3338" width="9.42578125" style="16" customWidth="1"/>
    <col min="3339" max="3339" width="7" style="16" customWidth="1"/>
    <col min="3340" max="3340" width="10.5703125" style="16" customWidth="1"/>
    <col min="3341" max="3341" width="10.42578125" style="16" customWidth="1"/>
    <col min="3342" max="3342" width="10" style="16" customWidth="1"/>
    <col min="3343" max="3343" width="9.42578125" style="16" customWidth="1"/>
    <col min="3344" max="3348" width="7.42578125" style="16" customWidth="1"/>
    <col min="3349" max="3350" width="6.85546875" style="16" customWidth="1"/>
    <col min="3351" max="3351" width="8" style="16" customWidth="1"/>
    <col min="3352" max="3352" width="12.42578125" style="16" customWidth="1"/>
    <col min="3353" max="3353" width="8.85546875" style="16" customWidth="1"/>
    <col min="3354" max="3586" width="9" style="16"/>
    <col min="3587" max="3587" width="13.140625" style="16" customWidth="1"/>
    <col min="3588" max="3588" width="14.42578125" style="16" customWidth="1"/>
    <col min="3589" max="3589" width="17.85546875" style="16" customWidth="1"/>
    <col min="3590" max="3590" width="14.42578125" style="16" customWidth="1"/>
    <col min="3591" max="3591" width="12.5703125" style="16" customWidth="1"/>
    <col min="3592" max="3593" width="14.42578125" style="16" customWidth="1"/>
    <col min="3594" max="3594" width="9.42578125" style="16" customWidth="1"/>
    <col min="3595" max="3595" width="7" style="16" customWidth="1"/>
    <col min="3596" max="3596" width="10.5703125" style="16" customWidth="1"/>
    <col min="3597" max="3597" width="10.42578125" style="16" customWidth="1"/>
    <col min="3598" max="3598" width="10" style="16" customWidth="1"/>
    <col min="3599" max="3599" width="9.42578125" style="16" customWidth="1"/>
    <col min="3600" max="3604" width="7.42578125" style="16" customWidth="1"/>
    <col min="3605" max="3606" width="6.85546875" style="16" customWidth="1"/>
    <col min="3607" max="3607" width="8" style="16" customWidth="1"/>
    <col min="3608" max="3608" width="12.42578125" style="16" customWidth="1"/>
    <col min="3609" max="3609" width="8.85546875" style="16" customWidth="1"/>
    <col min="3610" max="3842" width="9" style="16"/>
    <col min="3843" max="3843" width="13.140625" style="16" customWidth="1"/>
    <col min="3844" max="3844" width="14.42578125" style="16" customWidth="1"/>
    <col min="3845" max="3845" width="17.85546875" style="16" customWidth="1"/>
    <col min="3846" max="3846" width="14.42578125" style="16" customWidth="1"/>
    <col min="3847" max="3847" width="12.5703125" style="16" customWidth="1"/>
    <col min="3848" max="3849" width="14.42578125" style="16" customWidth="1"/>
    <col min="3850" max="3850" width="9.42578125" style="16" customWidth="1"/>
    <col min="3851" max="3851" width="7" style="16" customWidth="1"/>
    <col min="3852" max="3852" width="10.5703125" style="16" customWidth="1"/>
    <col min="3853" max="3853" width="10.42578125" style="16" customWidth="1"/>
    <col min="3854" max="3854" width="10" style="16" customWidth="1"/>
    <col min="3855" max="3855" width="9.42578125" style="16" customWidth="1"/>
    <col min="3856" max="3860" width="7.42578125" style="16" customWidth="1"/>
    <col min="3861" max="3862" width="6.85546875" style="16" customWidth="1"/>
    <col min="3863" max="3863" width="8" style="16" customWidth="1"/>
    <col min="3864" max="3864" width="12.42578125" style="16" customWidth="1"/>
    <col min="3865" max="3865" width="8.85546875" style="16" customWidth="1"/>
    <col min="3866" max="4098" width="9" style="16"/>
    <col min="4099" max="4099" width="13.140625" style="16" customWidth="1"/>
    <col min="4100" max="4100" width="14.42578125" style="16" customWidth="1"/>
    <col min="4101" max="4101" width="17.85546875" style="16" customWidth="1"/>
    <col min="4102" max="4102" width="14.42578125" style="16" customWidth="1"/>
    <col min="4103" max="4103" width="12.5703125" style="16" customWidth="1"/>
    <col min="4104" max="4105" width="14.42578125" style="16" customWidth="1"/>
    <col min="4106" max="4106" width="9.42578125" style="16" customWidth="1"/>
    <col min="4107" max="4107" width="7" style="16" customWidth="1"/>
    <col min="4108" max="4108" width="10.5703125" style="16" customWidth="1"/>
    <col min="4109" max="4109" width="10.42578125" style="16" customWidth="1"/>
    <col min="4110" max="4110" width="10" style="16" customWidth="1"/>
    <col min="4111" max="4111" width="9.42578125" style="16" customWidth="1"/>
    <col min="4112" max="4116" width="7.42578125" style="16" customWidth="1"/>
    <col min="4117" max="4118" width="6.85546875" style="16" customWidth="1"/>
    <col min="4119" max="4119" width="8" style="16" customWidth="1"/>
    <col min="4120" max="4120" width="12.42578125" style="16" customWidth="1"/>
    <col min="4121" max="4121" width="8.85546875" style="16" customWidth="1"/>
    <col min="4122" max="4354" width="9" style="16"/>
    <col min="4355" max="4355" width="13.140625" style="16" customWidth="1"/>
    <col min="4356" max="4356" width="14.42578125" style="16" customWidth="1"/>
    <col min="4357" max="4357" width="17.85546875" style="16" customWidth="1"/>
    <col min="4358" max="4358" width="14.42578125" style="16" customWidth="1"/>
    <col min="4359" max="4359" width="12.5703125" style="16" customWidth="1"/>
    <col min="4360" max="4361" width="14.42578125" style="16" customWidth="1"/>
    <col min="4362" max="4362" width="9.42578125" style="16" customWidth="1"/>
    <col min="4363" max="4363" width="7" style="16" customWidth="1"/>
    <col min="4364" max="4364" width="10.5703125" style="16" customWidth="1"/>
    <col min="4365" max="4365" width="10.42578125" style="16" customWidth="1"/>
    <col min="4366" max="4366" width="10" style="16" customWidth="1"/>
    <col min="4367" max="4367" width="9.42578125" style="16" customWidth="1"/>
    <col min="4368" max="4372" width="7.42578125" style="16" customWidth="1"/>
    <col min="4373" max="4374" width="6.85546875" style="16" customWidth="1"/>
    <col min="4375" max="4375" width="8" style="16" customWidth="1"/>
    <col min="4376" max="4376" width="12.42578125" style="16" customWidth="1"/>
    <col min="4377" max="4377" width="8.85546875" style="16" customWidth="1"/>
    <col min="4378" max="4610" width="9" style="16"/>
    <col min="4611" max="4611" width="13.140625" style="16" customWidth="1"/>
    <col min="4612" max="4612" width="14.42578125" style="16" customWidth="1"/>
    <col min="4613" max="4613" width="17.85546875" style="16" customWidth="1"/>
    <col min="4614" max="4614" width="14.42578125" style="16" customWidth="1"/>
    <col min="4615" max="4615" width="12.5703125" style="16" customWidth="1"/>
    <col min="4616" max="4617" width="14.42578125" style="16" customWidth="1"/>
    <col min="4618" max="4618" width="9.42578125" style="16" customWidth="1"/>
    <col min="4619" max="4619" width="7" style="16" customWidth="1"/>
    <col min="4620" max="4620" width="10.5703125" style="16" customWidth="1"/>
    <col min="4621" max="4621" width="10.42578125" style="16" customWidth="1"/>
    <col min="4622" max="4622" width="10" style="16" customWidth="1"/>
    <col min="4623" max="4623" width="9.42578125" style="16" customWidth="1"/>
    <col min="4624" max="4628" width="7.42578125" style="16" customWidth="1"/>
    <col min="4629" max="4630" width="6.85546875" style="16" customWidth="1"/>
    <col min="4631" max="4631" width="8" style="16" customWidth="1"/>
    <col min="4632" max="4632" width="12.42578125" style="16" customWidth="1"/>
    <col min="4633" max="4633" width="8.85546875" style="16" customWidth="1"/>
    <col min="4634" max="4866" width="9" style="16"/>
    <col min="4867" max="4867" width="13.140625" style="16" customWidth="1"/>
    <col min="4868" max="4868" width="14.42578125" style="16" customWidth="1"/>
    <col min="4869" max="4869" width="17.85546875" style="16" customWidth="1"/>
    <col min="4870" max="4870" width="14.42578125" style="16" customWidth="1"/>
    <col min="4871" max="4871" width="12.5703125" style="16" customWidth="1"/>
    <col min="4872" max="4873" width="14.42578125" style="16" customWidth="1"/>
    <col min="4874" max="4874" width="9.42578125" style="16" customWidth="1"/>
    <col min="4875" max="4875" width="7" style="16" customWidth="1"/>
    <col min="4876" max="4876" width="10.5703125" style="16" customWidth="1"/>
    <col min="4877" max="4877" width="10.42578125" style="16" customWidth="1"/>
    <col min="4878" max="4878" width="10" style="16" customWidth="1"/>
    <col min="4879" max="4879" width="9.42578125" style="16" customWidth="1"/>
    <col min="4880" max="4884" width="7.42578125" style="16" customWidth="1"/>
    <col min="4885" max="4886" width="6.85546875" style="16" customWidth="1"/>
    <col min="4887" max="4887" width="8" style="16" customWidth="1"/>
    <col min="4888" max="4888" width="12.42578125" style="16" customWidth="1"/>
    <col min="4889" max="4889" width="8.85546875" style="16" customWidth="1"/>
    <col min="4890" max="5122" width="9" style="16"/>
    <col min="5123" max="5123" width="13.140625" style="16" customWidth="1"/>
    <col min="5124" max="5124" width="14.42578125" style="16" customWidth="1"/>
    <col min="5125" max="5125" width="17.85546875" style="16" customWidth="1"/>
    <col min="5126" max="5126" width="14.42578125" style="16" customWidth="1"/>
    <col min="5127" max="5127" width="12.5703125" style="16" customWidth="1"/>
    <col min="5128" max="5129" width="14.42578125" style="16" customWidth="1"/>
    <col min="5130" max="5130" width="9.42578125" style="16" customWidth="1"/>
    <col min="5131" max="5131" width="7" style="16" customWidth="1"/>
    <col min="5132" max="5132" width="10.5703125" style="16" customWidth="1"/>
    <col min="5133" max="5133" width="10.42578125" style="16" customWidth="1"/>
    <col min="5134" max="5134" width="10" style="16" customWidth="1"/>
    <col min="5135" max="5135" width="9.42578125" style="16" customWidth="1"/>
    <col min="5136" max="5140" width="7.42578125" style="16" customWidth="1"/>
    <col min="5141" max="5142" width="6.85546875" style="16" customWidth="1"/>
    <col min="5143" max="5143" width="8" style="16" customWidth="1"/>
    <col min="5144" max="5144" width="12.42578125" style="16" customWidth="1"/>
    <col min="5145" max="5145" width="8.85546875" style="16" customWidth="1"/>
    <col min="5146" max="5378" width="9" style="16"/>
    <col min="5379" max="5379" width="13.140625" style="16" customWidth="1"/>
    <col min="5380" max="5380" width="14.42578125" style="16" customWidth="1"/>
    <col min="5381" max="5381" width="17.85546875" style="16" customWidth="1"/>
    <col min="5382" max="5382" width="14.42578125" style="16" customWidth="1"/>
    <col min="5383" max="5383" width="12.5703125" style="16" customWidth="1"/>
    <col min="5384" max="5385" width="14.42578125" style="16" customWidth="1"/>
    <col min="5386" max="5386" width="9.42578125" style="16" customWidth="1"/>
    <col min="5387" max="5387" width="7" style="16" customWidth="1"/>
    <col min="5388" max="5388" width="10.5703125" style="16" customWidth="1"/>
    <col min="5389" max="5389" width="10.42578125" style="16" customWidth="1"/>
    <col min="5390" max="5390" width="10" style="16" customWidth="1"/>
    <col min="5391" max="5391" width="9.42578125" style="16" customWidth="1"/>
    <col min="5392" max="5396" width="7.42578125" style="16" customWidth="1"/>
    <col min="5397" max="5398" width="6.85546875" style="16" customWidth="1"/>
    <col min="5399" max="5399" width="8" style="16" customWidth="1"/>
    <col min="5400" max="5400" width="12.42578125" style="16" customWidth="1"/>
    <col min="5401" max="5401" width="8.85546875" style="16" customWidth="1"/>
    <col min="5402" max="5634" width="9" style="16"/>
    <col min="5635" max="5635" width="13.140625" style="16" customWidth="1"/>
    <col min="5636" max="5636" width="14.42578125" style="16" customWidth="1"/>
    <col min="5637" max="5637" width="17.85546875" style="16" customWidth="1"/>
    <col min="5638" max="5638" width="14.42578125" style="16" customWidth="1"/>
    <col min="5639" max="5639" width="12.5703125" style="16" customWidth="1"/>
    <col min="5640" max="5641" width="14.42578125" style="16" customWidth="1"/>
    <col min="5642" max="5642" width="9.42578125" style="16" customWidth="1"/>
    <col min="5643" max="5643" width="7" style="16" customWidth="1"/>
    <col min="5644" max="5644" width="10.5703125" style="16" customWidth="1"/>
    <col min="5645" max="5645" width="10.42578125" style="16" customWidth="1"/>
    <col min="5646" max="5646" width="10" style="16" customWidth="1"/>
    <col min="5647" max="5647" width="9.42578125" style="16" customWidth="1"/>
    <col min="5648" max="5652" width="7.42578125" style="16" customWidth="1"/>
    <col min="5653" max="5654" width="6.85546875" style="16" customWidth="1"/>
    <col min="5655" max="5655" width="8" style="16" customWidth="1"/>
    <col min="5656" max="5656" width="12.42578125" style="16" customWidth="1"/>
    <col min="5657" max="5657" width="8.85546875" style="16" customWidth="1"/>
    <col min="5658" max="5890" width="9" style="16"/>
    <col min="5891" max="5891" width="13.140625" style="16" customWidth="1"/>
    <col min="5892" max="5892" width="14.42578125" style="16" customWidth="1"/>
    <col min="5893" max="5893" width="17.85546875" style="16" customWidth="1"/>
    <col min="5894" max="5894" width="14.42578125" style="16" customWidth="1"/>
    <col min="5895" max="5895" width="12.5703125" style="16" customWidth="1"/>
    <col min="5896" max="5897" width="14.42578125" style="16" customWidth="1"/>
    <col min="5898" max="5898" width="9.42578125" style="16" customWidth="1"/>
    <col min="5899" max="5899" width="7" style="16" customWidth="1"/>
    <col min="5900" max="5900" width="10.5703125" style="16" customWidth="1"/>
    <col min="5901" max="5901" width="10.42578125" style="16" customWidth="1"/>
    <col min="5902" max="5902" width="10" style="16" customWidth="1"/>
    <col min="5903" max="5903" width="9.42578125" style="16" customWidth="1"/>
    <col min="5904" max="5908" width="7.42578125" style="16" customWidth="1"/>
    <col min="5909" max="5910" width="6.85546875" style="16" customWidth="1"/>
    <col min="5911" max="5911" width="8" style="16" customWidth="1"/>
    <col min="5912" max="5912" width="12.42578125" style="16" customWidth="1"/>
    <col min="5913" max="5913" width="8.85546875" style="16" customWidth="1"/>
    <col min="5914" max="6146" width="9" style="16"/>
    <col min="6147" max="6147" width="13.140625" style="16" customWidth="1"/>
    <col min="6148" max="6148" width="14.42578125" style="16" customWidth="1"/>
    <col min="6149" max="6149" width="17.85546875" style="16" customWidth="1"/>
    <col min="6150" max="6150" width="14.42578125" style="16" customWidth="1"/>
    <col min="6151" max="6151" width="12.5703125" style="16" customWidth="1"/>
    <col min="6152" max="6153" width="14.42578125" style="16" customWidth="1"/>
    <col min="6154" max="6154" width="9.42578125" style="16" customWidth="1"/>
    <col min="6155" max="6155" width="7" style="16" customWidth="1"/>
    <col min="6156" max="6156" width="10.5703125" style="16" customWidth="1"/>
    <col min="6157" max="6157" width="10.42578125" style="16" customWidth="1"/>
    <col min="6158" max="6158" width="10" style="16" customWidth="1"/>
    <col min="6159" max="6159" width="9.42578125" style="16" customWidth="1"/>
    <col min="6160" max="6164" width="7.42578125" style="16" customWidth="1"/>
    <col min="6165" max="6166" width="6.85546875" style="16" customWidth="1"/>
    <col min="6167" max="6167" width="8" style="16" customWidth="1"/>
    <col min="6168" max="6168" width="12.42578125" style="16" customWidth="1"/>
    <col min="6169" max="6169" width="8.85546875" style="16" customWidth="1"/>
    <col min="6170" max="6402" width="9" style="16"/>
    <col min="6403" max="6403" width="13.140625" style="16" customWidth="1"/>
    <col min="6404" max="6404" width="14.42578125" style="16" customWidth="1"/>
    <col min="6405" max="6405" width="17.85546875" style="16" customWidth="1"/>
    <col min="6406" max="6406" width="14.42578125" style="16" customWidth="1"/>
    <col min="6407" max="6407" width="12.5703125" style="16" customWidth="1"/>
    <col min="6408" max="6409" width="14.42578125" style="16" customWidth="1"/>
    <col min="6410" max="6410" width="9.42578125" style="16" customWidth="1"/>
    <col min="6411" max="6411" width="7" style="16" customWidth="1"/>
    <col min="6412" max="6412" width="10.5703125" style="16" customWidth="1"/>
    <col min="6413" max="6413" width="10.42578125" style="16" customWidth="1"/>
    <col min="6414" max="6414" width="10" style="16" customWidth="1"/>
    <col min="6415" max="6415" width="9.42578125" style="16" customWidth="1"/>
    <col min="6416" max="6420" width="7.42578125" style="16" customWidth="1"/>
    <col min="6421" max="6422" width="6.85546875" style="16" customWidth="1"/>
    <col min="6423" max="6423" width="8" style="16" customWidth="1"/>
    <col min="6424" max="6424" width="12.42578125" style="16" customWidth="1"/>
    <col min="6425" max="6425" width="8.85546875" style="16" customWidth="1"/>
    <col min="6426" max="6658" width="9" style="16"/>
    <col min="6659" max="6659" width="13.140625" style="16" customWidth="1"/>
    <col min="6660" max="6660" width="14.42578125" style="16" customWidth="1"/>
    <col min="6661" max="6661" width="17.85546875" style="16" customWidth="1"/>
    <col min="6662" max="6662" width="14.42578125" style="16" customWidth="1"/>
    <col min="6663" max="6663" width="12.5703125" style="16" customWidth="1"/>
    <col min="6664" max="6665" width="14.42578125" style="16" customWidth="1"/>
    <col min="6666" max="6666" width="9.42578125" style="16" customWidth="1"/>
    <col min="6667" max="6667" width="7" style="16" customWidth="1"/>
    <col min="6668" max="6668" width="10.5703125" style="16" customWidth="1"/>
    <col min="6669" max="6669" width="10.42578125" style="16" customWidth="1"/>
    <col min="6670" max="6670" width="10" style="16" customWidth="1"/>
    <col min="6671" max="6671" width="9.42578125" style="16" customWidth="1"/>
    <col min="6672" max="6676" width="7.42578125" style="16" customWidth="1"/>
    <col min="6677" max="6678" width="6.85546875" style="16" customWidth="1"/>
    <col min="6679" max="6679" width="8" style="16" customWidth="1"/>
    <col min="6680" max="6680" width="12.42578125" style="16" customWidth="1"/>
    <col min="6681" max="6681" width="8.85546875" style="16" customWidth="1"/>
    <col min="6682" max="6914" width="9" style="16"/>
    <col min="6915" max="6915" width="13.140625" style="16" customWidth="1"/>
    <col min="6916" max="6916" width="14.42578125" style="16" customWidth="1"/>
    <col min="6917" max="6917" width="17.85546875" style="16" customWidth="1"/>
    <col min="6918" max="6918" width="14.42578125" style="16" customWidth="1"/>
    <col min="6919" max="6919" width="12.5703125" style="16" customWidth="1"/>
    <col min="6920" max="6921" width="14.42578125" style="16" customWidth="1"/>
    <col min="6922" max="6922" width="9.42578125" style="16" customWidth="1"/>
    <col min="6923" max="6923" width="7" style="16" customWidth="1"/>
    <col min="6924" max="6924" width="10.5703125" style="16" customWidth="1"/>
    <col min="6925" max="6925" width="10.42578125" style="16" customWidth="1"/>
    <col min="6926" max="6926" width="10" style="16" customWidth="1"/>
    <col min="6927" max="6927" width="9.42578125" style="16" customWidth="1"/>
    <col min="6928" max="6932" width="7.42578125" style="16" customWidth="1"/>
    <col min="6933" max="6934" width="6.85546875" style="16" customWidth="1"/>
    <col min="6935" max="6935" width="8" style="16" customWidth="1"/>
    <col min="6936" max="6936" width="12.42578125" style="16" customWidth="1"/>
    <col min="6937" max="6937" width="8.85546875" style="16" customWidth="1"/>
    <col min="6938" max="7170" width="9" style="16"/>
    <col min="7171" max="7171" width="13.140625" style="16" customWidth="1"/>
    <col min="7172" max="7172" width="14.42578125" style="16" customWidth="1"/>
    <col min="7173" max="7173" width="17.85546875" style="16" customWidth="1"/>
    <col min="7174" max="7174" width="14.42578125" style="16" customWidth="1"/>
    <col min="7175" max="7175" width="12.5703125" style="16" customWidth="1"/>
    <col min="7176" max="7177" width="14.42578125" style="16" customWidth="1"/>
    <col min="7178" max="7178" width="9.42578125" style="16" customWidth="1"/>
    <col min="7179" max="7179" width="7" style="16" customWidth="1"/>
    <col min="7180" max="7180" width="10.5703125" style="16" customWidth="1"/>
    <col min="7181" max="7181" width="10.42578125" style="16" customWidth="1"/>
    <col min="7182" max="7182" width="10" style="16" customWidth="1"/>
    <col min="7183" max="7183" width="9.42578125" style="16" customWidth="1"/>
    <col min="7184" max="7188" width="7.42578125" style="16" customWidth="1"/>
    <col min="7189" max="7190" width="6.85546875" style="16" customWidth="1"/>
    <col min="7191" max="7191" width="8" style="16" customWidth="1"/>
    <col min="7192" max="7192" width="12.42578125" style="16" customWidth="1"/>
    <col min="7193" max="7193" width="8.85546875" style="16" customWidth="1"/>
    <col min="7194" max="7426" width="9" style="16"/>
    <col min="7427" max="7427" width="13.140625" style="16" customWidth="1"/>
    <col min="7428" max="7428" width="14.42578125" style="16" customWidth="1"/>
    <col min="7429" max="7429" width="17.85546875" style="16" customWidth="1"/>
    <col min="7430" max="7430" width="14.42578125" style="16" customWidth="1"/>
    <col min="7431" max="7431" width="12.5703125" style="16" customWidth="1"/>
    <col min="7432" max="7433" width="14.42578125" style="16" customWidth="1"/>
    <col min="7434" max="7434" width="9.42578125" style="16" customWidth="1"/>
    <col min="7435" max="7435" width="7" style="16" customWidth="1"/>
    <col min="7436" max="7436" width="10.5703125" style="16" customWidth="1"/>
    <col min="7437" max="7437" width="10.42578125" style="16" customWidth="1"/>
    <col min="7438" max="7438" width="10" style="16" customWidth="1"/>
    <col min="7439" max="7439" width="9.42578125" style="16" customWidth="1"/>
    <col min="7440" max="7444" width="7.42578125" style="16" customWidth="1"/>
    <col min="7445" max="7446" width="6.85546875" style="16" customWidth="1"/>
    <col min="7447" max="7447" width="8" style="16" customWidth="1"/>
    <col min="7448" max="7448" width="12.42578125" style="16" customWidth="1"/>
    <col min="7449" max="7449" width="8.85546875" style="16" customWidth="1"/>
    <col min="7450" max="7682" width="9" style="16"/>
    <col min="7683" max="7683" width="13.140625" style="16" customWidth="1"/>
    <col min="7684" max="7684" width="14.42578125" style="16" customWidth="1"/>
    <col min="7685" max="7685" width="17.85546875" style="16" customWidth="1"/>
    <col min="7686" max="7686" width="14.42578125" style="16" customWidth="1"/>
    <col min="7687" max="7687" width="12.5703125" style="16" customWidth="1"/>
    <col min="7688" max="7689" width="14.42578125" style="16" customWidth="1"/>
    <col min="7690" max="7690" width="9.42578125" style="16" customWidth="1"/>
    <col min="7691" max="7691" width="7" style="16" customWidth="1"/>
    <col min="7692" max="7692" width="10.5703125" style="16" customWidth="1"/>
    <col min="7693" max="7693" width="10.42578125" style="16" customWidth="1"/>
    <col min="7694" max="7694" width="10" style="16" customWidth="1"/>
    <col min="7695" max="7695" width="9.42578125" style="16" customWidth="1"/>
    <col min="7696" max="7700" width="7.42578125" style="16" customWidth="1"/>
    <col min="7701" max="7702" width="6.85546875" style="16" customWidth="1"/>
    <col min="7703" max="7703" width="8" style="16" customWidth="1"/>
    <col min="7704" max="7704" width="12.42578125" style="16" customWidth="1"/>
    <col min="7705" max="7705" width="8.85546875" style="16" customWidth="1"/>
    <col min="7706" max="7938" width="9" style="16"/>
    <col min="7939" max="7939" width="13.140625" style="16" customWidth="1"/>
    <col min="7940" max="7940" width="14.42578125" style="16" customWidth="1"/>
    <col min="7941" max="7941" width="17.85546875" style="16" customWidth="1"/>
    <col min="7942" max="7942" width="14.42578125" style="16" customWidth="1"/>
    <col min="7943" max="7943" width="12.5703125" style="16" customWidth="1"/>
    <col min="7944" max="7945" width="14.42578125" style="16" customWidth="1"/>
    <col min="7946" max="7946" width="9.42578125" style="16" customWidth="1"/>
    <col min="7947" max="7947" width="7" style="16" customWidth="1"/>
    <col min="7948" max="7948" width="10.5703125" style="16" customWidth="1"/>
    <col min="7949" max="7949" width="10.42578125" style="16" customWidth="1"/>
    <col min="7950" max="7950" width="10" style="16" customWidth="1"/>
    <col min="7951" max="7951" width="9.42578125" style="16" customWidth="1"/>
    <col min="7952" max="7956" width="7.42578125" style="16" customWidth="1"/>
    <col min="7957" max="7958" width="6.85546875" style="16" customWidth="1"/>
    <col min="7959" max="7959" width="8" style="16" customWidth="1"/>
    <col min="7960" max="7960" width="12.42578125" style="16" customWidth="1"/>
    <col min="7961" max="7961" width="8.85546875" style="16" customWidth="1"/>
    <col min="7962" max="8194" width="9" style="16"/>
    <col min="8195" max="8195" width="13.140625" style="16" customWidth="1"/>
    <col min="8196" max="8196" width="14.42578125" style="16" customWidth="1"/>
    <col min="8197" max="8197" width="17.85546875" style="16" customWidth="1"/>
    <col min="8198" max="8198" width="14.42578125" style="16" customWidth="1"/>
    <col min="8199" max="8199" width="12.5703125" style="16" customWidth="1"/>
    <col min="8200" max="8201" width="14.42578125" style="16" customWidth="1"/>
    <col min="8202" max="8202" width="9.42578125" style="16" customWidth="1"/>
    <col min="8203" max="8203" width="7" style="16" customWidth="1"/>
    <col min="8204" max="8204" width="10.5703125" style="16" customWidth="1"/>
    <col min="8205" max="8205" width="10.42578125" style="16" customWidth="1"/>
    <col min="8206" max="8206" width="10" style="16" customWidth="1"/>
    <col min="8207" max="8207" width="9.42578125" style="16" customWidth="1"/>
    <col min="8208" max="8212" width="7.42578125" style="16" customWidth="1"/>
    <col min="8213" max="8214" width="6.85546875" style="16" customWidth="1"/>
    <col min="8215" max="8215" width="8" style="16" customWidth="1"/>
    <col min="8216" max="8216" width="12.42578125" style="16" customWidth="1"/>
    <col min="8217" max="8217" width="8.85546875" style="16" customWidth="1"/>
    <col min="8218" max="8450" width="9" style="16"/>
    <col min="8451" max="8451" width="13.140625" style="16" customWidth="1"/>
    <col min="8452" max="8452" width="14.42578125" style="16" customWidth="1"/>
    <col min="8453" max="8453" width="17.85546875" style="16" customWidth="1"/>
    <col min="8454" max="8454" width="14.42578125" style="16" customWidth="1"/>
    <col min="8455" max="8455" width="12.5703125" style="16" customWidth="1"/>
    <col min="8456" max="8457" width="14.42578125" style="16" customWidth="1"/>
    <col min="8458" max="8458" width="9.42578125" style="16" customWidth="1"/>
    <col min="8459" max="8459" width="7" style="16" customWidth="1"/>
    <col min="8460" max="8460" width="10.5703125" style="16" customWidth="1"/>
    <col min="8461" max="8461" width="10.42578125" style="16" customWidth="1"/>
    <col min="8462" max="8462" width="10" style="16" customWidth="1"/>
    <col min="8463" max="8463" width="9.42578125" style="16" customWidth="1"/>
    <col min="8464" max="8468" width="7.42578125" style="16" customWidth="1"/>
    <col min="8469" max="8470" width="6.85546875" style="16" customWidth="1"/>
    <col min="8471" max="8471" width="8" style="16" customWidth="1"/>
    <col min="8472" max="8472" width="12.42578125" style="16" customWidth="1"/>
    <col min="8473" max="8473" width="8.85546875" style="16" customWidth="1"/>
    <col min="8474" max="8706" width="9" style="16"/>
    <col min="8707" max="8707" width="13.140625" style="16" customWidth="1"/>
    <col min="8708" max="8708" width="14.42578125" style="16" customWidth="1"/>
    <col min="8709" max="8709" width="17.85546875" style="16" customWidth="1"/>
    <col min="8710" max="8710" width="14.42578125" style="16" customWidth="1"/>
    <col min="8711" max="8711" width="12.5703125" style="16" customWidth="1"/>
    <col min="8712" max="8713" width="14.42578125" style="16" customWidth="1"/>
    <col min="8714" max="8714" width="9.42578125" style="16" customWidth="1"/>
    <col min="8715" max="8715" width="7" style="16" customWidth="1"/>
    <col min="8716" max="8716" width="10.5703125" style="16" customWidth="1"/>
    <col min="8717" max="8717" width="10.42578125" style="16" customWidth="1"/>
    <col min="8718" max="8718" width="10" style="16" customWidth="1"/>
    <col min="8719" max="8719" width="9.42578125" style="16" customWidth="1"/>
    <col min="8720" max="8724" width="7.42578125" style="16" customWidth="1"/>
    <col min="8725" max="8726" width="6.85546875" style="16" customWidth="1"/>
    <col min="8727" max="8727" width="8" style="16" customWidth="1"/>
    <col min="8728" max="8728" width="12.42578125" style="16" customWidth="1"/>
    <col min="8729" max="8729" width="8.85546875" style="16" customWidth="1"/>
    <col min="8730" max="8962" width="9" style="16"/>
    <col min="8963" max="8963" width="13.140625" style="16" customWidth="1"/>
    <col min="8964" max="8964" width="14.42578125" style="16" customWidth="1"/>
    <col min="8965" max="8965" width="17.85546875" style="16" customWidth="1"/>
    <col min="8966" max="8966" width="14.42578125" style="16" customWidth="1"/>
    <col min="8967" max="8967" width="12.5703125" style="16" customWidth="1"/>
    <col min="8968" max="8969" width="14.42578125" style="16" customWidth="1"/>
    <col min="8970" max="8970" width="9.42578125" style="16" customWidth="1"/>
    <col min="8971" max="8971" width="7" style="16" customWidth="1"/>
    <col min="8972" max="8972" width="10.5703125" style="16" customWidth="1"/>
    <col min="8973" max="8973" width="10.42578125" style="16" customWidth="1"/>
    <col min="8974" max="8974" width="10" style="16" customWidth="1"/>
    <col min="8975" max="8975" width="9.42578125" style="16" customWidth="1"/>
    <col min="8976" max="8980" width="7.42578125" style="16" customWidth="1"/>
    <col min="8981" max="8982" width="6.85546875" style="16" customWidth="1"/>
    <col min="8983" max="8983" width="8" style="16" customWidth="1"/>
    <col min="8984" max="8984" width="12.42578125" style="16" customWidth="1"/>
    <col min="8985" max="8985" width="8.85546875" style="16" customWidth="1"/>
    <col min="8986" max="9218" width="9" style="16"/>
    <col min="9219" max="9219" width="13.140625" style="16" customWidth="1"/>
    <col min="9220" max="9220" width="14.42578125" style="16" customWidth="1"/>
    <col min="9221" max="9221" width="17.85546875" style="16" customWidth="1"/>
    <col min="9222" max="9222" width="14.42578125" style="16" customWidth="1"/>
    <col min="9223" max="9223" width="12.5703125" style="16" customWidth="1"/>
    <col min="9224" max="9225" width="14.42578125" style="16" customWidth="1"/>
    <col min="9226" max="9226" width="9.42578125" style="16" customWidth="1"/>
    <col min="9227" max="9227" width="7" style="16" customWidth="1"/>
    <col min="9228" max="9228" width="10.5703125" style="16" customWidth="1"/>
    <col min="9229" max="9229" width="10.42578125" style="16" customWidth="1"/>
    <col min="9230" max="9230" width="10" style="16" customWidth="1"/>
    <col min="9231" max="9231" width="9.42578125" style="16" customWidth="1"/>
    <col min="9232" max="9236" width="7.42578125" style="16" customWidth="1"/>
    <col min="9237" max="9238" width="6.85546875" style="16" customWidth="1"/>
    <col min="9239" max="9239" width="8" style="16" customWidth="1"/>
    <col min="9240" max="9240" width="12.42578125" style="16" customWidth="1"/>
    <col min="9241" max="9241" width="8.85546875" style="16" customWidth="1"/>
    <col min="9242" max="9474" width="9" style="16"/>
    <col min="9475" max="9475" width="13.140625" style="16" customWidth="1"/>
    <col min="9476" max="9476" width="14.42578125" style="16" customWidth="1"/>
    <col min="9477" max="9477" width="17.85546875" style="16" customWidth="1"/>
    <col min="9478" max="9478" width="14.42578125" style="16" customWidth="1"/>
    <col min="9479" max="9479" width="12.5703125" style="16" customWidth="1"/>
    <col min="9480" max="9481" width="14.42578125" style="16" customWidth="1"/>
    <col min="9482" max="9482" width="9.42578125" style="16" customWidth="1"/>
    <col min="9483" max="9483" width="7" style="16" customWidth="1"/>
    <col min="9484" max="9484" width="10.5703125" style="16" customWidth="1"/>
    <col min="9485" max="9485" width="10.42578125" style="16" customWidth="1"/>
    <col min="9486" max="9486" width="10" style="16" customWidth="1"/>
    <col min="9487" max="9487" width="9.42578125" style="16" customWidth="1"/>
    <col min="9488" max="9492" width="7.42578125" style="16" customWidth="1"/>
    <col min="9493" max="9494" width="6.85546875" style="16" customWidth="1"/>
    <col min="9495" max="9495" width="8" style="16" customWidth="1"/>
    <col min="9496" max="9496" width="12.42578125" style="16" customWidth="1"/>
    <col min="9497" max="9497" width="8.85546875" style="16" customWidth="1"/>
    <col min="9498" max="9730" width="9" style="16"/>
    <col min="9731" max="9731" width="13.140625" style="16" customWidth="1"/>
    <col min="9732" max="9732" width="14.42578125" style="16" customWidth="1"/>
    <col min="9733" max="9733" width="17.85546875" style="16" customWidth="1"/>
    <col min="9734" max="9734" width="14.42578125" style="16" customWidth="1"/>
    <col min="9735" max="9735" width="12.5703125" style="16" customWidth="1"/>
    <col min="9736" max="9737" width="14.42578125" style="16" customWidth="1"/>
    <col min="9738" max="9738" width="9.42578125" style="16" customWidth="1"/>
    <col min="9739" max="9739" width="7" style="16" customWidth="1"/>
    <col min="9740" max="9740" width="10.5703125" style="16" customWidth="1"/>
    <col min="9741" max="9741" width="10.42578125" style="16" customWidth="1"/>
    <col min="9742" max="9742" width="10" style="16" customWidth="1"/>
    <col min="9743" max="9743" width="9.42578125" style="16" customWidth="1"/>
    <col min="9744" max="9748" width="7.42578125" style="16" customWidth="1"/>
    <col min="9749" max="9750" width="6.85546875" style="16" customWidth="1"/>
    <col min="9751" max="9751" width="8" style="16" customWidth="1"/>
    <col min="9752" max="9752" width="12.42578125" style="16" customWidth="1"/>
    <col min="9753" max="9753" width="8.85546875" style="16" customWidth="1"/>
    <col min="9754" max="9986" width="9" style="16"/>
    <col min="9987" max="9987" width="13.140625" style="16" customWidth="1"/>
    <col min="9988" max="9988" width="14.42578125" style="16" customWidth="1"/>
    <col min="9989" max="9989" width="17.85546875" style="16" customWidth="1"/>
    <col min="9990" max="9990" width="14.42578125" style="16" customWidth="1"/>
    <col min="9991" max="9991" width="12.5703125" style="16" customWidth="1"/>
    <col min="9992" max="9993" width="14.42578125" style="16" customWidth="1"/>
    <col min="9994" max="9994" width="9.42578125" style="16" customWidth="1"/>
    <col min="9995" max="9995" width="7" style="16" customWidth="1"/>
    <col min="9996" max="9996" width="10.5703125" style="16" customWidth="1"/>
    <col min="9997" max="9997" width="10.42578125" style="16" customWidth="1"/>
    <col min="9998" max="9998" width="10" style="16" customWidth="1"/>
    <col min="9999" max="9999" width="9.42578125" style="16" customWidth="1"/>
    <col min="10000" max="10004" width="7.42578125" style="16" customWidth="1"/>
    <col min="10005" max="10006" width="6.85546875" style="16" customWidth="1"/>
    <col min="10007" max="10007" width="8" style="16" customWidth="1"/>
    <col min="10008" max="10008" width="12.42578125" style="16" customWidth="1"/>
    <col min="10009" max="10009" width="8.85546875" style="16" customWidth="1"/>
    <col min="10010" max="10242" width="9" style="16"/>
    <col min="10243" max="10243" width="13.140625" style="16" customWidth="1"/>
    <col min="10244" max="10244" width="14.42578125" style="16" customWidth="1"/>
    <col min="10245" max="10245" width="17.85546875" style="16" customWidth="1"/>
    <col min="10246" max="10246" width="14.42578125" style="16" customWidth="1"/>
    <col min="10247" max="10247" width="12.5703125" style="16" customWidth="1"/>
    <col min="10248" max="10249" width="14.42578125" style="16" customWidth="1"/>
    <col min="10250" max="10250" width="9.42578125" style="16" customWidth="1"/>
    <col min="10251" max="10251" width="7" style="16" customWidth="1"/>
    <col min="10252" max="10252" width="10.5703125" style="16" customWidth="1"/>
    <col min="10253" max="10253" width="10.42578125" style="16" customWidth="1"/>
    <col min="10254" max="10254" width="10" style="16" customWidth="1"/>
    <col min="10255" max="10255" width="9.42578125" style="16" customWidth="1"/>
    <col min="10256" max="10260" width="7.42578125" style="16" customWidth="1"/>
    <col min="10261" max="10262" width="6.85546875" style="16" customWidth="1"/>
    <col min="10263" max="10263" width="8" style="16" customWidth="1"/>
    <col min="10264" max="10264" width="12.42578125" style="16" customWidth="1"/>
    <col min="10265" max="10265" width="8.85546875" style="16" customWidth="1"/>
    <col min="10266" max="10498" width="9" style="16"/>
    <col min="10499" max="10499" width="13.140625" style="16" customWidth="1"/>
    <col min="10500" max="10500" width="14.42578125" style="16" customWidth="1"/>
    <col min="10501" max="10501" width="17.85546875" style="16" customWidth="1"/>
    <col min="10502" max="10502" width="14.42578125" style="16" customWidth="1"/>
    <col min="10503" max="10503" width="12.5703125" style="16" customWidth="1"/>
    <col min="10504" max="10505" width="14.42578125" style="16" customWidth="1"/>
    <col min="10506" max="10506" width="9.42578125" style="16" customWidth="1"/>
    <col min="10507" max="10507" width="7" style="16" customWidth="1"/>
    <col min="10508" max="10508" width="10.5703125" style="16" customWidth="1"/>
    <col min="10509" max="10509" width="10.42578125" style="16" customWidth="1"/>
    <col min="10510" max="10510" width="10" style="16" customWidth="1"/>
    <col min="10511" max="10511" width="9.42578125" style="16" customWidth="1"/>
    <col min="10512" max="10516" width="7.42578125" style="16" customWidth="1"/>
    <col min="10517" max="10518" width="6.85546875" style="16" customWidth="1"/>
    <col min="10519" max="10519" width="8" style="16" customWidth="1"/>
    <col min="10520" max="10520" width="12.42578125" style="16" customWidth="1"/>
    <col min="10521" max="10521" width="8.85546875" style="16" customWidth="1"/>
    <col min="10522" max="10754" width="9" style="16"/>
    <col min="10755" max="10755" width="13.140625" style="16" customWidth="1"/>
    <col min="10756" max="10756" width="14.42578125" style="16" customWidth="1"/>
    <col min="10757" max="10757" width="17.85546875" style="16" customWidth="1"/>
    <col min="10758" max="10758" width="14.42578125" style="16" customWidth="1"/>
    <col min="10759" max="10759" width="12.5703125" style="16" customWidth="1"/>
    <col min="10760" max="10761" width="14.42578125" style="16" customWidth="1"/>
    <col min="10762" max="10762" width="9.42578125" style="16" customWidth="1"/>
    <col min="10763" max="10763" width="7" style="16" customWidth="1"/>
    <col min="10764" max="10764" width="10.5703125" style="16" customWidth="1"/>
    <col min="10765" max="10765" width="10.42578125" style="16" customWidth="1"/>
    <col min="10766" max="10766" width="10" style="16" customWidth="1"/>
    <col min="10767" max="10767" width="9.42578125" style="16" customWidth="1"/>
    <col min="10768" max="10772" width="7.42578125" style="16" customWidth="1"/>
    <col min="10773" max="10774" width="6.85546875" style="16" customWidth="1"/>
    <col min="10775" max="10775" width="8" style="16" customWidth="1"/>
    <col min="10776" max="10776" width="12.42578125" style="16" customWidth="1"/>
    <col min="10777" max="10777" width="8.85546875" style="16" customWidth="1"/>
    <col min="10778" max="11010" width="9" style="16"/>
    <col min="11011" max="11011" width="13.140625" style="16" customWidth="1"/>
    <col min="11012" max="11012" width="14.42578125" style="16" customWidth="1"/>
    <col min="11013" max="11013" width="17.85546875" style="16" customWidth="1"/>
    <col min="11014" max="11014" width="14.42578125" style="16" customWidth="1"/>
    <col min="11015" max="11015" width="12.5703125" style="16" customWidth="1"/>
    <col min="11016" max="11017" width="14.42578125" style="16" customWidth="1"/>
    <col min="11018" max="11018" width="9.42578125" style="16" customWidth="1"/>
    <col min="11019" max="11019" width="7" style="16" customWidth="1"/>
    <col min="11020" max="11020" width="10.5703125" style="16" customWidth="1"/>
    <col min="11021" max="11021" width="10.42578125" style="16" customWidth="1"/>
    <col min="11022" max="11022" width="10" style="16" customWidth="1"/>
    <col min="11023" max="11023" width="9.42578125" style="16" customWidth="1"/>
    <col min="11024" max="11028" width="7.42578125" style="16" customWidth="1"/>
    <col min="11029" max="11030" width="6.85546875" style="16" customWidth="1"/>
    <col min="11031" max="11031" width="8" style="16" customWidth="1"/>
    <col min="11032" max="11032" width="12.42578125" style="16" customWidth="1"/>
    <col min="11033" max="11033" width="8.85546875" style="16" customWidth="1"/>
    <col min="11034" max="11266" width="9" style="16"/>
    <col min="11267" max="11267" width="13.140625" style="16" customWidth="1"/>
    <col min="11268" max="11268" width="14.42578125" style="16" customWidth="1"/>
    <col min="11269" max="11269" width="17.85546875" style="16" customWidth="1"/>
    <col min="11270" max="11270" width="14.42578125" style="16" customWidth="1"/>
    <col min="11271" max="11271" width="12.5703125" style="16" customWidth="1"/>
    <col min="11272" max="11273" width="14.42578125" style="16" customWidth="1"/>
    <col min="11274" max="11274" width="9.42578125" style="16" customWidth="1"/>
    <col min="11275" max="11275" width="7" style="16" customWidth="1"/>
    <col min="11276" max="11276" width="10.5703125" style="16" customWidth="1"/>
    <col min="11277" max="11277" width="10.42578125" style="16" customWidth="1"/>
    <col min="11278" max="11278" width="10" style="16" customWidth="1"/>
    <col min="11279" max="11279" width="9.42578125" style="16" customWidth="1"/>
    <col min="11280" max="11284" width="7.42578125" style="16" customWidth="1"/>
    <col min="11285" max="11286" width="6.85546875" style="16" customWidth="1"/>
    <col min="11287" max="11287" width="8" style="16" customWidth="1"/>
    <col min="11288" max="11288" width="12.42578125" style="16" customWidth="1"/>
    <col min="11289" max="11289" width="8.85546875" style="16" customWidth="1"/>
    <col min="11290" max="11522" width="9" style="16"/>
    <col min="11523" max="11523" width="13.140625" style="16" customWidth="1"/>
    <col min="11524" max="11524" width="14.42578125" style="16" customWidth="1"/>
    <col min="11525" max="11525" width="17.85546875" style="16" customWidth="1"/>
    <col min="11526" max="11526" width="14.42578125" style="16" customWidth="1"/>
    <col min="11527" max="11527" width="12.5703125" style="16" customWidth="1"/>
    <col min="11528" max="11529" width="14.42578125" style="16" customWidth="1"/>
    <col min="11530" max="11530" width="9.42578125" style="16" customWidth="1"/>
    <col min="11531" max="11531" width="7" style="16" customWidth="1"/>
    <col min="11532" max="11532" width="10.5703125" style="16" customWidth="1"/>
    <col min="11533" max="11533" width="10.42578125" style="16" customWidth="1"/>
    <col min="11534" max="11534" width="10" style="16" customWidth="1"/>
    <col min="11535" max="11535" width="9.42578125" style="16" customWidth="1"/>
    <col min="11536" max="11540" width="7.42578125" style="16" customWidth="1"/>
    <col min="11541" max="11542" width="6.85546875" style="16" customWidth="1"/>
    <col min="11543" max="11543" width="8" style="16" customWidth="1"/>
    <col min="11544" max="11544" width="12.42578125" style="16" customWidth="1"/>
    <col min="11545" max="11545" width="8.85546875" style="16" customWidth="1"/>
    <col min="11546" max="11778" width="9" style="16"/>
    <col min="11779" max="11779" width="13.140625" style="16" customWidth="1"/>
    <col min="11780" max="11780" width="14.42578125" style="16" customWidth="1"/>
    <col min="11781" max="11781" width="17.85546875" style="16" customWidth="1"/>
    <col min="11782" max="11782" width="14.42578125" style="16" customWidth="1"/>
    <col min="11783" max="11783" width="12.5703125" style="16" customWidth="1"/>
    <col min="11784" max="11785" width="14.42578125" style="16" customWidth="1"/>
    <col min="11786" max="11786" width="9.42578125" style="16" customWidth="1"/>
    <col min="11787" max="11787" width="7" style="16" customWidth="1"/>
    <col min="11788" max="11788" width="10.5703125" style="16" customWidth="1"/>
    <col min="11789" max="11789" width="10.42578125" style="16" customWidth="1"/>
    <col min="11790" max="11790" width="10" style="16" customWidth="1"/>
    <col min="11791" max="11791" width="9.42578125" style="16" customWidth="1"/>
    <col min="11792" max="11796" width="7.42578125" style="16" customWidth="1"/>
    <col min="11797" max="11798" width="6.85546875" style="16" customWidth="1"/>
    <col min="11799" max="11799" width="8" style="16" customWidth="1"/>
    <col min="11800" max="11800" width="12.42578125" style="16" customWidth="1"/>
    <col min="11801" max="11801" width="8.85546875" style="16" customWidth="1"/>
    <col min="11802" max="12034" width="9" style="16"/>
    <col min="12035" max="12035" width="13.140625" style="16" customWidth="1"/>
    <col min="12036" max="12036" width="14.42578125" style="16" customWidth="1"/>
    <col min="12037" max="12037" width="17.85546875" style="16" customWidth="1"/>
    <col min="12038" max="12038" width="14.42578125" style="16" customWidth="1"/>
    <col min="12039" max="12039" width="12.5703125" style="16" customWidth="1"/>
    <col min="12040" max="12041" width="14.42578125" style="16" customWidth="1"/>
    <col min="12042" max="12042" width="9.42578125" style="16" customWidth="1"/>
    <col min="12043" max="12043" width="7" style="16" customWidth="1"/>
    <col min="12044" max="12044" width="10.5703125" style="16" customWidth="1"/>
    <col min="12045" max="12045" width="10.42578125" style="16" customWidth="1"/>
    <col min="12046" max="12046" width="10" style="16" customWidth="1"/>
    <col min="12047" max="12047" width="9.42578125" style="16" customWidth="1"/>
    <col min="12048" max="12052" width="7.42578125" style="16" customWidth="1"/>
    <col min="12053" max="12054" width="6.85546875" style="16" customWidth="1"/>
    <col min="12055" max="12055" width="8" style="16" customWidth="1"/>
    <col min="12056" max="12056" width="12.42578125" style="16" customWidth="1"/>
    <col min="12057" max="12057" width="8.85546875" style="16" customWidth="1"/>
    <col min="12058" max="12290" width="9" style="16"/>
    <col min="12291" max="12291" width="13.140625" style="16" customWidth="1"/>
    <col min="12292" max="12292" width="14.42578125" style="16" customWidth="1"/>
    <col min="12293" max="12293" width="17.85546875" style="16" customWidth="1"/>
    <col min="12294" max="12294" width="14.42578125" style="16" customWidth="1"/>
    <col min="12295" max="12295" width="12.5703125" style="16" customWidth="1"/>
    <col min="12296" max="12297" width="14.42578125" style="16" customWidth="1"/>
    <col min="12298" max="12298" width="9.42578125" style="16" customWidth="1"/>
    <col min="12299" max="12299" width="7" style="16" customWidth="1"/>
    <col min="12300" max="12300" width="10.5703125" style="16" customWidth="1"/>
    <col min="12301" max="12301" width="10.42578125" style="16" customWidth="1"/>
    <col min="12302" max="12302" width="10" style="16" customWidth="1"/>
    <col min="12303" max="12303" width="9.42578125" style="16" customWidth="1"/>
    <col min="12304" max="12308" width="7.42578125" style="16" customWidth="1"/>
    <col min="12309" max="12310" width="6.85546875" style="16" customWidth="1"/>
    <col min="12311" max="12311" width="8" style="16" customWidth="1"/>
    <col min="12312" max="12312" width="12.42578125" style="16" customWidth="1"/>
    <col min="12313" max="12313" width="8.85546875" style="16" customWidth="1"/>
    <col min="12314" max="12546" width="9" style="16"/>
    <col min="12547" max="12547" width="13.140625" style="16" customWidth="1"/>
    <col min="12548" max="12548" width="14.42578125" style="16" customWidth="1"/>
    <col min="12549" max="12549" width="17.85546875" style="16" customWidth="1"/>
    <col min="12550" max="12550" width="14.42578125" style="16" customWidth="1"/>
    <col min="12551" max="12551" width="12.5703125" style="16" customWidth="1"/>
    <col min="12552" max="12553" width="14.42578125" style="16" customWidth="1"/>
    <col min="12554" max="12554" width="9.42578125" style="16" customWidth="1"/>
    <col min="12555" max="12555" width="7" style="16" customWidth="1"/>
    <col min="12556" max="12556" width="10.5703125" style="16" customWidth="1"/>
    <col min="12557" max="12557" width="10.42578125" style="16" customWidth="1"/>
    <col min="12558" max="12558" width="10" style="16" customWidth="1"/>
    <col min="12559" max="12559" width="9.42578125" style="16" customWidth="1"/>
    <col min="12560" max="12564" width="7.42578125" style="16" customWidth="1"/>
    <col min="12565" max="12566" width="6.85546875" style="16" customWidth="1"/>
    <col min="12567" max="12567" width="8" style="16" customWidth="1"/>
    <col min="12568" max="12568" width="12.42578125" style="16" customWidth="1"/>
    <col min="12569" max="12569" width="8.85546875" style="16" customWidth="1"/>
    <col min="12570" max="12802" width="9" style="16"/>
    <col min="12803" max="12803" width="13.140625" style="16" customWidth="1"/>
    <col min="12804" max="12804" width="14.42578125" style="16" customWidth="1"/>
    <col min="12805" max="12805" width="17.85546875" style="16" customWidth="1"/>
    <col min="12806" max="12806" width="14.42578125" style="16" customWidth="1"/>
    <col min="12807" max="12807" width="12.5703125" style="16" customWidth="1"/>
    <col min="12808" max="12809" width="14.42578125" style="16" customWidth="1"/>
    <col min="12810" max="12810" width="9.42578125" style="16" customWidth="1"/>
    <col min="12811" max="12811" width="7" style="16" customWidth="1"/>
    <col min="12812" max="12812" width="10.5703125" style="16" customWidth="1"/>
    <col min="12813" max="12813" width="10.42578125" style="16" customWidth="1"/>
    <col min="12814" max="12814" width="10" style="16" customWidth="1"/>
    <col min="12815" max="12815" width="9.42578125" style="16" customWidth="1"/>
    <col min="12816" max="12820" width="7.42578125" style="16" customWidth="1"/>
    <col min="12821" max="12822" width="6.85546875" style="16" customWidth="1"/>
    <col min="12823" max="12823" width="8" style="16" customWidth="1"/>
    <col min="12824" max="12824" width="12.42578125" style="16" customWidth="1"/>
    <col min="12825" max="12825" width="8.85546875" style="16" customWidth="1"/>
    <col min="12826" max="13058" width="9" style="16"/>
    <col min="13059" max="13059" width="13.140625" style="16" customWidth="1"/>
    <col min="13060" max="13060" width="14.42578125" style="16" customWidth="1"/>
    <col min="13061" max="13061" width="17.85546875" style="16" customWidth="1"/>
    <col min="13062" max="13062" width="14.42578125" style="16" customWidth="1"/>
    <col min="13063" max="13063" width="12.5703125" style="16" customWidth="1"/>
    <col min="13064" max="13065" width="14.42578125" style="16" customWidth="1"/>
    <col min="13066" max="13066" width="9.42578125" style="16" customWidth="1"/>
    <col min="13067" max="13067" width="7" style="16" customWidth="1"/>
    <col min="13068" max="13068" width="10.5703125" style="16" customWidth="1"/>
    <col min="13069" max="13069" width="10.42578125" style="16" customWidth="1"/>
    <col min="13070" max="13070" width="10" style="16" customWidth="1"/>
    <col min="13071" max="13071" width="9.42578125" style="16" customWidth="1"/>
    <col min="13072" max="13076" width="7.42578125" style="16" customWidth="1"/>
    <col min="13077" max="13078" width="6.85546875" style="16" customWidth="1"/>
    <col min="13079" max="13079" width="8" style="16" customWidth="1"/>
    <col min="13080" max="13080" width="12.42578125" style="16" customWidth="1"/>
    <col min="13081" max="13081" width="8.85546875" style="16" customWidth="1"/>
    <col min="13082" max="13314" width="9" style="16"/>
    <col min="13315" max="13315" width="13.140625" style="16" customWidth="1"/>
    <col min="13316" max="13316" width="14.42578125" style="16" customWidth="1"/>
    <col min="13317" max="13317" width="17.85546875" style="16" customWidth="1"/>
    <col min="13318" max="13318" width="14.42578125" style="16" customWidth="1"/>
    <col min="13319" max="13319" width="12.5703125" style="16" customWidth="1"/>
    <col min="13320" max="13321" width="14.42578125" style="16" customWidth="1"/>
    <col min="13322" max="13322" width="9.42578125" style="16" customWidth="1"/>
    <col min="13323" max="13323" width="7" style="16" customWidth="1"/>
    <col min="13324" max="13324" width="10.5703125" style="16" customWidth="1"/>
    <col min="13325" max="13325" width="10.42578125" style="16" customWidth="1"/>
    <col min="13326" max="13326" width="10" style="16" customWidth="1"/>
    <col min="13327" max="13327" width="9.42578125" style="16" customWidth="1"/>
    <col min="13328" max="13332" width="7.42578125" style="16" customWidth="1"/>
    <col min="13333" max="13334" width="6.85546875" style="16" customWidth="1"/>
    <col min="13335" max="13335" width="8" style="16" customWidth="1"/>
    <col min="13336" max="13336" width="12.42578125" style="16" customWidth="1"/>
    <col min="13337" max="13337" width="8.85546875" style="16" customWidth="1"/>
    <col min="13338" max="13570" width="9" style="16"/>
    <col min="13571" max="13571" width="13.140625" style="16" customWidth="1"/>
    <col min="13572" max="13572" width="14.42578125" style="16" customWidth="1"/>
    <col min="13573" max="13573" width="17.85546875" style="16" customWidth="1"/>
    <col min="13574" max="13574" width="14.42578125" style="16" customWidth="1"/>
    <col min="13575" max="13575" width="12.5703125" style="16" customWidth="1"/>
    <col min="13576" max="13577" width="14.42578125" style="16" customWidth="1"/>
    <col min="13578" max="13578" width="9.42578125" style="16" customWidth="1"/>
    <col min="13579" max="13579" width="7" style="16" customWidth="1"/>
    <col min="13580" max="13580" width="10.5703125" style="16" customWidth="1"/>
    <col min="13581" max="13581" width="10.42578125" style="16" customWidth="1"/>
    <col min="13582" max="13582" width="10" style="16" customWidth="1"/>
    <col min="13583" max="13583" width="9.42578125" style="16" customWidth="1"/>
    <col min="13584" max="13588" width="7.42578125" style="16" customWidth="1"/>
    <col min="13589" max="13590" width="6.85546875" style="16" customWidth="1"/>
    <col min="13591" max="13591" width="8" style="16" customWidth="1"/>
    <col min="13592" max="13592" width="12.42578125" style="16" customWidth="1"/>
    <col min="13593" max="13593" width="8.85546875" style="16" customWidth="1"/>
    <col min="13594" max="13826" width="9" style="16"/>
    <col min="13827" max="13827" width="13.140625" style="16" customWidth="1"/>
    <col min="13828" max="13828" width="14.42578125" style="16" customWidth="1"/>
    <col min="13829" max="13829" width="17.85546875" style="16" customWidth="1"/>
    <col min="13830" max="13830" width="14.42578125" style="16" customWidth="1"/>
    <col min="13831" max="13831" width="12.5703125" style="16" customWidth="1"/>
    <col min="13832" max="13833" width="14.42578125" style="16" customWidth="1"/>
    <col min="13834" max="13834" width="9.42578125" style="16" customWidth="1"/>
    <col min="13835" max="13835" width="7" style="16" customWidth="1"/>
    <col min="13836" max="13836" width="10.5703125" style="16" customWidth="1"/>
    <col min="13837" max="13837" width="10.42578125" style="16" customWidth="1"/>
    <col min="13838" max="13838" width="10" style="16" customWidth="1"/>
    <col min="13839" max="13839" width="9.42578125" style="16" customWidth="1"/>
    <col min="13840" max="13844" width="7.42578125" style="16" customWidth="1"/>
    <col min="13845" max="13846" width="6.85546875" style="16" customWidth="1"/>
    <col min="13847" max="13847" width="8" style="16" customWidth="1"/>
    <col min="13848" max="13848" width="12.42578125" style="16" customWidth="1"/>
    <col min="13849" max="13849" width="8.85546875" style="16" customWidth="1"/>
    <col min="13850" max="14082" width="9" style="16"/>
    <col min="14083" max="14083" width="13.140625" style="16" customWidth="1"/>
    <col min="14084" max="14084" width="14.42578125" style="16" customWidth="1"/>
    <col min="14085" max="14085" width="17.85546875" style="16" customWidth="1"/>
    <col min="14086" max="14086" width="14.42578125" style="16" customWidth="1"/>
    <col min="14087" max="14087" width="12.5703125" style="16" customWidth="1"/>
    <col min="14088" max="14089" width="14.42578125" style="16" customWidth="1"/>
    <col min="14090" max="14090" width="9.42578125" style="16" customWidth="1"/>
    <col min="14091" max="14091" width="7" style="16" customWidth="1"/>
    <col min="14092" max="14092" width="10.5703125" style="16" customWidth="1"/>
    <col min="14093" max="14093" width="10.42578125" style="16" customWidth="1"/>
    <col min="14094" max="14094" width="10" style="16" customWidth="1"/>
    <col min="14095" max="14095" width="9.42578125" style="16" customWidth="1"/>
    <col min="14096" max="14100" width="7.42578125" style="16" customWidth="1"/>
    <col min="14101" max="14102" width="6.85546875" style="16" customWidth="1"/>
    <col min="14103" max="14103" width="8" style="16" customWidth="1"/>
    <col min="14104" max="14104" width="12.42578125" style="16" customWidth="1"/>
    <col min="14105" max="14105" width="8.85546875" style="16" customWidth="1"/>
    <col min="14106" max="14338" width="9" style="16"/>
    <col min="14339" max="14339" width="13.140625" style="16" customWidth="1"/>
    <col min="14340" max="14340" width="14.42578125" style="16" customWidth="1"/>
    <col min="14341" max="14341" width="17.85546875" style="16" customWidth="1"/>
    <col min="14342" max="14342" width="14.42578125" style="16" customWidth="1"/>
    <col min="14343" max="14343" width="12.5703125" style="16" customWidth="1"/>
    <col min="14344" max="14345" width="14.42578125" style="16" customWidth="1"/>
    <col min="14346" max="14346" width="9.42578125" style="16" customWidth="1"/>
    <col min="14347" max="14347" width="7" style="16" customWidth="1"/>
    <col min="14348" max="14348" width="10.5703125" style="16" customWidth="1"/>
    <col min="14349" max="14349" width="10.42578125" style="16" customWidth="1"/>
    <col min="14350" max="14350" width="10" style="16" customWidth="1"/>
    <col min="14351" max="14351" width="9.42578125" style="16" customWidth="1"/>
    <col min="14352" max="14356" width="7.42578125" style="16" customWidth="1"/>
    <col min="14357" max="14358" width="6.85546875" style="16" customWidth="1"/>
    <col min="14359" max="14359" width="8" style="16" customWidth="1"/>
    <col min="14360" max="14360" width="12.42578125" style="16" customWidth="1"/>
    <col min="14361" max="14361" width="8.85546875" style="16" customWidth="1"/>
    <col min="14362" max="14594" width="9" style="16"/>
    <col min="14595" max="14595" width="13.140625" style="16" customWidth="1"/>
    <col min="14596" max="14596" width="14.42578125" style="16" customWidth="1"/>
    <col min="14597" max="14597" width="17.85546875" style="16" customWidth="1"/>
    <col min="14598" max="14598" width="14.42578125" style="16" customWidth="1"/>
    <col min="14599" max="14599" width="12.5703125" style="16" customWidth="1"/>
    <col min="14600" max="14601" width="14.42578125" style="16" customWidth="1"/>
    <col min="14602" max="14602" width="9.42578125" style="16" customWidth="1"/>
    <col min="14603" max="14603" width="7" style="16" customWidth="1"/>
    <col min="14604" max="14604" width="10.5703125" style="16" customWidth="1"/>
    <col min="14605" max="14605" width="10.42578125" style="16" customWidth="1"/>
    <col min="14606" max="14606" width="10" style="16" customWidth="1"/>
    <col min="14607" max="14607" width="9.42578125" style="16" customWidth="1"/>
    <col min="14608" max="14612" width="7.42578125" style="16" customWidth="1"/>
    <col min="14613" max="14614" width="6.85546875" style="16" customWidth="1"/>
    <col min="14615" max="14615" width="8" style="16" customWidth="1"/>
    <col min="14616" max="14616" width="12.42578125" style="16" customWidth="1"/>
    <col min="14617" max="14617" width="8.85546875" style="16" customWidth="1"/>
    <col min="14618" max="14850" width="9" style="16"/>
    <col min="14851" max="14851" width="13.140625" style="16" customWidth="1"/>
    <col min="14852" max="14852" width="14.42578125" style="16" customWidth="1"/>
    <col min="14853" max="14853" width="17.85546875" style="16" customWidth="1"/>
    <col min="14854" max="14854" width="14.42578125" style="16" customWidth="1"/>
    <col min="14855" max="14855" width="12.5703125" style="16" customWidth="1"/>
    <col min="14856" max="14857" width="14.42578125" style="16" customWidth="1"/>
    <col min="14858" max="14858" width="9.42578125" style="16" customWidth="1"/>
    <col min="14859" max="14859" width="7" style="16" customWidth="1"/>
    <col min="14860" max="14860" width="10.5703125" style="16" customWidth="1"/>
    <col min="14861" max="14861" width="10.42578125" style="16" customWidth="1"/>
    <col min="14862" max="14862" width="10" style="16" customWidth="1"/>
    <col min="14863" max="14863" width="9.42578125" style="16" customWidth="1"/>
    <col min="14864" max="14868" width="7.42578125" style="16" customWidth="1"/>
    <col min="14869" max="14870" width="6.85546875" style="16" customWidth="1"/>
    <col min="14871" max="14871" width="8" style="16" customWidth="1"/>
    <col min="14872" max="14872" width="12.42578125" style="16" customWidth="1"/>
    <col min="14873" max="14873" width="8.85546875" style="16" customWidth="1"/>
    <col min="14874" max="15106" width="9" style="16"/>
    <col min="15107" max="15107" width="13.140625" style="16" customWidth="1"/>
    <col min="15108" max="15108" width="14.42578125" style="16" customWidth="1"/>
    <col min="15109" max="15109" width="17.85546875" style="16" customWidth="1"/>
    <col min="15110" max="15110" width="14.42578125" style="16" customWidth="1"/>
    <col min="15111" max="15111" width="12.5703125" style="16" customWidth="1"/>
    <col min="15112" max="15113" width="14.42578125" style="16" customWidth="1"/>
    <col min="15114" max="15114" width="9.42578125" style="16" customWidth="1"/>
    <col min="15115" max="15115" width="7" style="16" customWidth="1"/>
    <col min="15116" max="15116" width="10.5703125" style="16" customWidth="1"/>
    <col min="15117" max="15117" width="10.42578125" style="16" customWidth="1"/>
    <col min="15118" max="15118" width="10" style="16" customWidth="1"/>
    <col min="15119" max="15119" width="9.42578125" style="16" customWidth="1"/>
    <col min="15120" max="15124" width="7.42578125" style="16" customWidth="1"/>
    <col min="15125" max="15126" width="6.85546875" style="16" customWidth="1"/>
    <col min="15127" max="15127" width="8" style="16" customWidth="1"/>
    <col min="15128" max="15128" width="12.42578125" style="16" customWidth="1"/>
    <col min="15129" max="15129" width="8.85546875" style="16" customWidth="1"/>
    <col min="15130" max="15362" width="9" style="16"/>
    <col min="15363" max="15363" width="13.140625" style="16" customWidth="1"/>
    <col min="15364" max="15364" width="14.42578125" style="16" customWidth="1"/>
    <col min="15365" max="15365" width="17.85546875" style="16" customWidth="1"/>
    <col min="15366" max="15366" width="14.42578125" style="16" customWidth="1"/>
    <col min="15367" max="15367" width="12.5703125" style="16" customWidth="1"/>
    <col min="15368" max="15369" width="14.42578125" style="16" customWidth="1"/>
    <col min="15370" max="15370" width="9.42578125" style="16" customWidth="1"/>
    <col min="15371" max="15371" width="7" style="16" customWidth="1"/>
    <col min="15372" max="15372" width="10.5703125" style="16" customWidth="1"/>
    <col min="15373" max="15373" width="10.42578125" style="16" customWidth="1"/>
    <col min="15374" max="15374" width="10" style="16" customWidth="1"/>
    <col min="15375" max="15375" width="9.42578125" style="16" customWidth="1"/>
    <col min="15376" max="15380" width="7.42578125" style="16" customWidth="1"/>
    <col min="15381" max="15382" width="6.85546875" style="16" customWidth="1"/>
    <col min="15383" max="15383" width="8" style="16" customWidth="1"/>
    <col min="15384" max="15384" width="12.42578125" style="16" customWidth="1"/>
    <col min="15385" max="15385" width="8.85546875" style="16" customWidth="1"/>
    <col min="15386" max="15618" width="9" style="16"/>
    <col min="15619" max="15619" width="13.140625" style="16" customWidth="1"/>
    <col min="15620" max="15620" width="14.42578125" style="16" customWidth="1"/>
    <col min="15621" max="15621" width="17.85546875" style="16" customWidth="1"/>
    <col min="15622" max="15622" width="14.42578125" style="16" customWidth="1"/>
    <col min="15623" max="15623" width="12.5703125" style="16" customWidth="1"/>
    <col min="15624" max="15625" width="14.42578125" style="16" customWidth="1"/>
    <col min="15626" max="15626" width="9.42578125" style="16" customWidth="1"/>
    <col min="15627" max="15627" width="7" style="16" customWidth="1"/>
    <col min="15628" max="15628" width="10.5703125" style="16" customWidth="1"/>
    <col min="15629" max="15629" width="10.42578125" style="16" customWidth="1"/>
    <col min="15630" max="15630" width="10" style="16" customWidth="1"/>
    <col min="15631" max="15631" width="9.42578125" style="16" customWidth="1"/>
    <col min="15632" max="15636" width="7.42578125" style="16" customWidth="1"/>
    <col min="15637" max="15638" width="6.85546875" style="16" customWidth="1"/>
    <col min="15639" max="15639" width="8" style="16" customWidth="1"/>
    <col min="15640" max="15640" width="12.42578125" style="16" customWidth="1"/>
    <col min="15641" max="15641" width="8.85546875" style="16" customWidth="1"/>
    <col min="15642" max="15874" width="9" style="16"/>
    <col min="15875" max="15875" width="13.140625" style="16" customWidth="1"/>
    <col min="15876" max="15876" width="14.42578125" style="16" customWidth="1"/>
    <col min="15877" max="15877" width="17.85546875" style="16" customWidth="1"/>
    <col min="15878" max="15878" width="14.42578125" style="16" customWidth="1"/>
    <col min="15879" max="15879" width="12.5703125" style="16" customWidth="1"/>
    <col min="15880" max="15881" width="14.42578125" style="16" customWidth="1"/>
    <col min="15882" max="15882" width="9.42578125" style="16" customWidth="1"/>
    <col min="15883" max="15883" width="7" style="16" customWidth="1"/>
    <col min="15884" max="15884" width="10.5703125" style="16" customWidth="1"/>
    <col min="15885" max="15885" width="10.42578125" style="16" customWidth="1"/>
    <col min="15886" max="15886" width="10" style="16" customWidth="1"/>
    <col min="15887" max="15887" width="9.42578125" style="16" customWidth="1"/>
    <col min="15888" max="15892" width="7.42578125" style="16" customWidth="1"/>
    <col min="15893" max="15894" width="6.85546875" style="16" customWidth="1"/>
    <col min="15895" max="15895" width="8" style="16" customWidth="1"/>
    <col min="15896" max="15896" width="12.42578125" style="16" customWidth="1"/>
    <col min="15897" max="15897" width="8.85546875" style="16" customWidth="1"/>
    <col min="15898" max="16130" width="9" style="16"/>
    <col min="16131" max="16131" width="13.140625" style="16" customWidth="1"/>
    <col min="16132" max="16132" width="14.42578125" style="16" customWidth="1"/>
    <col min="16133" max="16133" width="17.85546875" style="16" customWidth="1"/>
    <col min="16134" max="16134" width="14.42578125" style="16" customWidth="1"/>
    <col min="16135" max="16135" width="12.5703125" style="16" customWidth="1"/>
    <col min="16136" max="16137" width="14.42578125" style="16" customWidth="1"/>
    <col min="16138" max="16138" width="9.42578125" style="16" customWidth="1"/>
    <col min="16139" max="16139" width="7" style="16" customWidth="1"/>
    <col min="16140" max="16140" width="10.5703125" style="16" customWidth="1"/>
    <col min="16141" max="16141" width="10.42578125" style="16" customWidth="1"/>
    <col min="16142" max="16142" width="10" style="16" customWidth="1"/>
    <col min="16143" max="16143" width="9.42578125" style="16" customWidth="1"/>
    <col min="16144" max="16148" width="7.42578125" style="16" customWidth="1"/>
    <col min="16149" max="16150" width="6.85546875" style="16" customWidth="1"/>
    <col min="16151" max="16151" width="8" style="16" customWidth="1"/>
    <col min="16152" max="16152" width="12.42578125" style="16" customWidth="1"/>
    <col min="16153" max="16153" width="8.85546875" style="16" customWidth="1"/>
    <col min="16154" max="16384" width="9" style="16"/>
  </cols>
  <sheetData>
    <row r="1" spans="1:26" ht="15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spans="1:26" ht="1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spans="1:26" ht="18.75">
      <c r="A3" s="81" t="s">
        <v>254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</row>
    <row r="4" spans="1:26" ht="16.5">
      <c r="A4" s="82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 spans="1:26" ht="16.5" thickBot="1"/>
    <row r="6" spans="1:26" s="45" customFormat="1" ht="16.5" thickBot="1">
      <c r="A6" s="42" t="s">
        <v>1</v>
      </c>
      <c r="B6" s="43"/>
      <c r="C6" s="44"/>
      <c r="D6" s="84" t="s">
        <v>255</v>
      </c>
      <c r="E6" s="85"/>
      <c r="F6" s="85"/>
      <c r="G6" s="86"/>
      <c r="K6" s="46"/>
      <c r="Z6" s="47"/>
    </row>
    <row r="7" spans="1:26" s="45" customFormat="1" ht="17.25" thickBot="1">
      <c r="A7" s="48" t="s">
        <v>2</v>
      </c>
      <c r="B7" s="49"/>
      <c r="C7" s="50"/>
      <c r="D7" s="87" t="s">
        <v>277</v>
      </c>
      <c r="E7" s="87"/>
      <c r="F7" s="87"/>
      <c r="G7" s="88"/>
      <c r="H7" s="89"/>
      <c r="I7" s="90" t="s">
        <v>3</v>
      </c>
      <c r="J7" s="6"/>
      <c r="K7" s="51"/>
      <c r="L7" s="6"/>
      <c r="M7" s="6"/>
      <c r="N7" s="52"/>
      <c r="P7" s="53"/>
      <c r="Q7" s="53"/>
      <c r="Z7" s="47"/>
    </row>
    <row r="8" spans="1:26" s="45" customFormat="1">
      <c r="A8" s="1" t="s">
        <v>4</v>
      </c>
      <c r="B8" s="2"/>
      <c r="C8" s="2"/>
      <c r="D8" s="91"/>
      <c r="E8" s="91"/>
      <c r="F8" s="91"/>
      <c r="G8" s="92"/>
      <c r="H8" s="89"/>
      <c r="I8" s="93"/>
      <c r="J8" s="7" t="s">
        <v>5</v>
      </c>
      <c r="K8" s="18"/>
      <c r="L8" s="8"/>
      <c r="M8" s="9"/>
      <c r="N8" s="54"/>
      <c r="P8" s="53"/>
      <c r="Q8" s="53"/>
      <c r="Z8" s="47"/>
    </row>
    <row r="9" spans="1:26" s="45" customFormat="1">
      <c r="A9" s="3" t="s">
        <v>0</v>
      </c>
      <c r="B9" s="4"/>
      <c r="C9" s="5"/>
      <c r="D9" s="94"/>
      <c r="E9" s="94"/>
      <c r="F9" s="94"/>
      <c r="G9" s="95"/>
      <c r="H9" s="89"/>
      <c r="I9" s="93"/>
      <c r="J9" s="7" t="s">
        <v>6</v>
      </c>
      <c r="K9" s="18"/>
      <c r="L9" s="8"/>
      <c r="M9" s="9"/>
      <c r="N9" s="55"/>
      <c r="P9" s="53"/>
      <c r="Q9" s="53"/>
      <c r="Z9" s="47"/>
    </row>
    <row r="10" spans="1:26" s="45" customFormat="1">
      <c r="A10" s="3" t="s">
        <v>256</v>
      </c>
      <c r="B10" s="4"/>
      <c r="C10" s="5"/>
      <c r="D10" s="94"/>
      <c r="E10" s="94"/>
      <c r="F10" s="94"/>
      <c r="G10" s="95"/>
      <c r="H10" s="89"/>
      <c r="I10" s="93"/>
      <c r="J10" s="7" t="s">
        <v>7</v>
      </c>
      <c r="K10" s="18"/>
      <c r="L10" s="8"/>
      <c r="M10" s="9"/>
      <c r="N10" s="55"/>
      <c r="Z10" s="47"/>
    </row>
    <row r="11" spans="1:26" s="45" customFormat="1" ht="16.5" thickBot="1">
      <c r="A11" s="3"/>
      <c r="B11" s="5"/>
      <c r="C11" s="5"/>
      <c r="D11" s="94"/>
      <c r="E11" s="94"/>
      <c r="F11" s="94"/>
      <c r="G11" s="95"/>
      <c r="H11" s="89"/>
      <c r="I11" s="96"/>
      <c r="J11" s="10"/>
      <c r="K11" s="19"/>
      <c r="L11" s="11"/>
      <c r="M11" s="12"/>
      <c r="N11" s="13"/>
      <c r="Z11" s="47"/>
    </row>
    <row r="12" spans="1:26" ht="16.5" thickBot="1">
      <c r="A12" s="20"/>
      <c r="B12" s="21"/>
      <c r="C12" s="21"/>
      <c r="D12" s="97"/>
      <c r="E12" s="97"/>
      <c r="F12" s="97"/>
      <c r="G12" s="98"/>
      <c r="H12" s="99"/>
      <c r="I12" s="100"/>
      <c r="J12" s="18"/>
      <c r="K12" s="8"/>
      <c r="L12" s="8"/>
      <c r="M12" s="9"/>
      <c r="N12" s="22"/>
      <c r="O12" s="22"/>
      <c r="P12" s="22"/>
      <c r="Q12" s="23"/>
      <c r="R12" s="23"/>
      <c r="S12" s="23"/>
      <c r="T12" s="23"/>
      <c r="U12" s="23"/>
      <c r="V12" s="23"/>
      <c r="W12" s="23"/>
      <c r="X12" s="23"/>
    </row>
    <row r="13" spans="1:26">
      <c r="A13" s="22"/>
      <c r="B13" s="22"/>
      <c r="C13" s="22"/>
      <c r="D13" s="99"/>
      <c r="E13" s="99"/>
      <c r="F13" s="99"/>
      <c r="G13" s="101"/>
      <c r="H13" s="99"/>
      <c r="I13" s="99"/>
      <c r="J13" s="22"/>
      <c r="K13" s="22"/>
      <c r="L13" s="22"/>
      <c r="M13" s="22"/>
      <c r="N13" s="22"/>
      <c r="O13" s="22"/>
      <c r="P13" s="22"/>
      <c r="Q13" s="23"/>
      <c r="R13" s="23"/>
      <c r="S13" s="23"/>
      <c r="T13" s="23"/>
      <c r="U13" s="23"/>
      <c r="V13" s="23"/>
      <c r="W13" s="23"/>
      <c r="X13" s="23"/>
    </row>
    <row r="14" spans="1:26">
      <c r="A14" s="77" t="s">
        <v>8</v>
      </c>
      <c r="B14" s="78"/>
      <c r="C14" s="78"/>
      <c r="D14" s="102">
        <v>46006</v>
      </c>
      <c r="E14" s="103"/>
      <c r="F14" s="102"/>
      <c r="G14" s="102"/>
      <c r="H14" s="102"/>
      <c r="I14" s="104"/>
      <c r="J14" s="22"/>
      <c r="K14" s="22"/>
      <c r="L14" s="22"/>
      <c r="M14" s="22"/>
      <c r="N14" s="22"/>
      <c r="O14" s="22"/>
      <c r="P14" s="22"/>
      <c r="Q14" s="23"/>
      <c r="R14" s="22"/>
      <c r="S14" s="22"/>
      <c r="T14" s="22"/>
      <c r="U14" s="22"/>
      <c r="V14" s="22"/>
      <c r="W14" s="22"/>
      <c r="X14" s="22"/>
    </row>
    <row r="15" spans="1:26">
      <c r="A15" s="77" t="s">
        <v>9</v>
      </c>
      <c r="B15" s="78"/>
      <c r="C15" s="78"/>
      <c r="D15" s="102" t="s">
        <v>278</v>
      </c>
      <c r="E15" s="103"/>
      <c r="F15" s="102"/>
      <c r="G15" s="102"/>
      <c r="H15" s="102"/>
      <c r="I15" s="104"/>
      <c r="J15" s="22"/>
      <c r="K15" s="22"/>
      <c r="L15" s="22"/>
      <c r="M15" s="22" t="s">
        <v>10</v>
      </c>
      <c r="N15" s="22"/>
      <c r="O15" s="22"/>
      <c r="P15" s="22"/>
      <c r="Q15" s="23"/>
      <c r="R15" s="22"/>
      <c r="S15" s="22"/>
      <c r="T15" s="22"/>
      <c r="U15" s="22"/>
      <c r="V15" s="22"/>
      <c r="W15" s="22"/>
      <c r="X15" s="22"/>
    </row>
    <row r="16" spans="1:26">
      <c r="A16" s="77" t="s">
        <v>11</v>
      </c>
      <c r="B16" s="78"/>
      <c r="C16" s="78"/>
      <c r="D16" s="102" t="s">
        <v>279</v>
      </c>
      <c r="E16" s="103"/>
      <c r="F16" s="102"/>
      <c r="G16" s="102"/>
      <c r="H16" s="102"/>
      <c r="I16" s="104"/>
      <c r="J16" s="22"/>
      <c r="K16" s="22"/>
      <c r="L16" s="22"/>
      <c r="M16" s="22"/>
      <c r="N16" s="22"/>
      <c r="O16" s="22"/>
      <c r="P16" s="22"/>
      <c r="Q16" s="23"/>
      <c r="R16" s="22"/>
      <c r="S16" s="22"/>
      <c r="T16" s="22"/>
      <c r="U16" s="22"/>
      <c r="V16" s="22"/>
      <c r="W16" s="22"/>
      <c r="X16" s="22"/>
    </row>
    <row r="17" spans="1:28">
      <c r="A17" s="77" t="s">
        <v>12</v>
      </c>
      <c r="B17" s="78"/>
      <c r="C17" s="78"/>
      <c r="D17" s="79" t="s">
        <v>13</v>
      </c>
      <c r="E17" s="78"/>
      <c r="F17" s="79"/>
      <c r="G17" s="79"/>
      <c r="H17" s="79"/>
      <c r="I17" s="80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8">
      <c r="A18" s="24"/>
      <c r="B18" s="24"/>
      <c r="C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8" ht="39.75" thickBot="1">
      <c r="A19" s="22"/>
      <c r="B19" s="22"/>
      <c r="C19" s="22"/>
      <c r="D19" s="25"/>
      <c r="E19" s="24"/>
      <c r="F19" s="24"/>
      <c r="G19" s="24"/>
      <c r="H19" s="24"/>
      <c r="I19" s="24"/>
      <c r="J19" s="24"/>
      <c r="K19" s="26" t="s">
        <v>14</v>
      </c>
      <c r="L19" s="27" t="s">
        <v>15</v>
      </c>
      <c r="M19" s="27" t="s">
        <v>16</v>
      </c>
      <c r="N19" s="28">
        <v>10</v>
      </c>
      <c r="O19" s="28">
        <v>12</v>
      </c>
      <c r="P19" s="28">
        <v>14</v>
      </c>
      <c r="Q19" s="28">
        <v>16</v>
      </c>
      <c r="R19" s="28">
        <v>18</v>
      </c>
      <c r="S19" s="28">
        <v>20</v>
      </c>
      <c r="T19" s="28">
        <v>22</v>
      </c>
      <c r="U19" s="28">
        <v>24</v>
      </c>
      <c r="V19" s="27">
        <v>26</v>
      </c>
      <c r="W19" s="27"/>
      <c r="X19" s="27" t="s">
        <v>17</v>
      </c>
      <c r="Y19" s="29" t="s">
        <v>18</v>
      </c>
      <c r="Z19" s="30">
        <v>110</v>
      </c>
      <c r="AA19" s="31" t="s">
        <v>19</v>
      </c>
      <c r="AB19" s="56">
        <f>Z19*0.56*0.36*0.44</f>
        <v>9.7574400000000008</v>
      </c>
    </row>
    <row r="20" spans="1:28" ht="12.75" customHeight="1" thickBot="1">
      <c r="A20" s="22"/>
      <c r="B20" s="22"/>
      <c r="C20" s="22"/>
      <c r="D20" s="25"/>
      <c r="E20" s="24"/>
      <c r="F20" s="24"/>
      <c r="G20" s="24"/>
      <c r="H20" s="24"/>
      <c r="I20" s="24"/>
      <c r="J20" s="24"/>
      <c r="K20" s="32"/>
      <c r="L20" s="33"/>
      <c r="M20" s="33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60"/>
    </row>
    <row r="21" spans="1:28" ht="12.75" customHeight="1" thickBot="1">
      <c r="A21" s="22"/>
      <c r="B21" s="22"/>
      <c r="C21" s="24"/>
      <c r="D21" s="24"/>
      <c r="E21" s="24"/>
      <c r="F21" s="24"/>
      <c r="G21" s="24"/>
      <c r="H21" s="24"/>
      <c r="I21" s="24"/>
      <c r="J21" s="24"/>
      <c r="K21" s="3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Z21" s="30"/>
      <c r="AA21" s="35"/>
    </row>
    <row r="22" spans="1:28" ht="38.25" customHeight="1" thickBot="1">
      <c r="A22" s="27" t="s">
        <v>15</v>
      </c>
      <c r="B22" s="27" t="s">
        <v>16</v>
      </c>
      <c r="C22" s="27" t="s">
        <v>25</v>
      </c>
      <c r="D22" s="27" t="s">
        <v>26</v>
      </c>
      <c r="E22" s="27" t="s">
        <v>27</v>
      </c>
      <c r="F22" s="27" t="s">
        <v>28</v>
      </c>
      <c r="G22" s="27" t="s">
        <v>29</v>
      </c>
      <c r="H22" s="27" t="s">
        <v>30</v>
      </c>
      <c r="I22" s="27" t="s">
        <v>31</v>
      </c>
      <c r="J22" s="27" t="s">
        <v>32</v>
      </c>
      <c r="K22" s="27" t="s">
        <v>33</v>
      </c>
      <c r="L22" s="28">
        <f t="shared" ref="L22:T22" si="0">N19</f>
        <v>10</v>
      </c>
      <c r="M22" s="28">
        <f t="shared" si="0"/>
        <v>12</v>
      </c>
      <c r="N22" s="28">
        <f t="shared" si="0"/>
        <v>14</v>
      </c>
      <c r="O22" s="28">
        <f t="shared" si="0"/>
        <v>16</v>
      </c>
      <c r="P22" s="28">
        <f t="shared" si="0"/>
        <v>18</v>
      </c>
      <c r="Q22" s="28">
        <f t="shared" si="0"/>
        <v>20</v>
      </c>
      <c r="R22" s="28">
        <f t="shared" si="0"/>
        <v>22</v>
      </c>
      <c r="S22" s="28">
        <f t="shared" si="0"/>
        <v>24</v>
      </c>
      <c r="T22" s="28">
        <f t="shared" si="0"/>
        <v>26</v>
      </c>
      <c r="U22" s="27" t="s">
        <v>34</v>
      </c>
      <c r="V22" s="27" t="s">
        <v>35</v>
      </c>
      <c r="W22" s="27" t="s">
        <v>36</v>
      </c>
      <c r="X22" s="36" t="s">
        <v>37</v>
      </c>
      <c r="Y22" s="27" t="s">
        <v>38</v>
      </c>
      <c r="Z22" s="30"/>
      <c r="AA22" s="35"/>
    </row>
    <row r="23" spans="1:28" ht="15.95" customHeight="1" thickBot="1">
      <c r="A23" s="33" t="s">
        <v>21</v>
      </c>
      <c r="B23" s="33" t="s">
        <v>22</v>
      </c>
      <c r="C23" s="76" t="s">
        <v>258</v>
      </c>
      <c r="D23" s="76" t="s">
        <v>257</v>
      </c>
      <c r="E23" s="66">
        <v>62121010</v>
      </c>
      <c r="F23" s="28"/>
      <c r="G23" s="37" t="s">
        <v>39</v>
      </c>
      <c r="H23" s="38" t="s">
        <v>20</v>
      </c>
      <c r="I23" s="33" t="s">
        <v>40</v>
      </c>
      <c r="J23" s="33" t="s">
        <v>41</v>
      </c>
      <c r="K23" s="32" t="s">
        <v>261</v>
      </c>
      <c r="L23" s="28"/>
      <c r="M23" s="28"/>
      <c r="N23" s="28"/>
      <c r="O23" s="28"/>
      <c r="P23" s="28"/>
      <c r="Q23" s="28">
        <v>30</v>
      </c>
      <c r="R23" s="28"/>
      <c r="S23" s="28"/>
      <c r="T23" s="28"/>
      <c r="U23" s="28">
        <v>1</v>
      </c>
      <c r="V23" s="28">
        <f t="shared" ref="V23:V46" si="1">SUM(L23:T23)</f>
        <v>30</v>
      </c>
      <c r="W23" s="39">
        <v>6</v>
      </c>
      <c r="X23" s="31" t="s">
        <v>19</v>
      </c>
      <c r="Y23" s="39">
        <f t="shared" ref="Y23:Y88" si="2">W23-1.2</f>
        <v>4.8</v>
      </c>
    </row>
    <row r="24" spans="1:28" ht="15.95" customHeight="1" thickBot="1">
      <c r="A24" s="33" t="s">
        <v>21</v>
      </c>
      <c r="B24" s="33" t="s">
        <v>22</v>
      </c>
      <c r="C24" s="76"/>
      <c r="D24" s="76"/>
      <c r="E24" s="66"/>
      <c r="F24" s="28"/>
      <c r="G24" s="37" t="s">
        <v>42</v>
      </c>
      <c r="H24" s="38" t="s">
        <v>20</v>
      </c>
      <c r="I24" s="33" t="s">
        <v>43</v>
      </c>
      <c r="J24" s="33" t="s">
        <v>41</v>
      </c>
      <c r="K24" s="32" t="s">
        <v>261</v>
      </c>
      <c r="L24" s="28"/>
      <c r="M24" s="28"/>
      <c r="N24" s="28"/>
      <c r="O24" s="28"/>
      <c r="P24" s="28"/>
      <c r="Q24" s="28"/>
      <c r="R24" s="28">
        <v>30</v>
      </c>
      <c r="S24" s="28"/>
      <c r="T24" s="28"/>
      <c r="U24" s="28">
        <v>1</v>
      </c>
      <c r="V24" s="28">
        <f t="shared" si="1"/>
        <v>30</v>
      </c>
      <c r="W24" s="39">
        <v>6.3</v>
      </c>
      <c r="X24" s="31" t="s">
        <v>19</v>
      </c>
      <c r="Y24" s="39">
        <f t="shared" si="2"/>
        <v>5.0999999999999996</v>
      </c>
    </row>
    <row r="25" spans="1:28" ht="15.95" customHeight="1" thickBot="1">
      <c r="A25" s="33" t="s">
        <v>21</v>
      </c>
      <c r="B25" s="33" t="s">
        <v>22</v>
      </c>
      <c r="C25" s="76"/>
      <c r="D25" s="76"/>
      <c r="E25" s="66"/>
      <c r="F25" s="28"/>
      <c r="G25" s="37" t="s">
        <v>42</v>
      </c>
      <c r="H25" s="38" t="s">
        <v>20</v>
      </c>
      <c r="I25" s="33" t="s">
        <v>44</v>
      </c>
      <c r="J25" s="33" t="s">
        <v>41</v>
      </c>
      <c r="K25" s="32" t="s">
        <v>261</v>
      </c>
      <c r="L25" s="28"/>
      <c r="M25" s="28"/>
      <c r="N25" s="28"/>
      <c r="O25" s="28"/>
      <c r="P25" s="28"/>
      <c r="Q25" s="28"/>
      <c r="R25" s="28">
        <v>20</v>
      </c>
      <c r="S25" s="28"/>
      <c r="T25" s="28"/>
      <c r="U25" s="28">
        <v>1</v>
      </c>
      <c r="V25" s="28">
        <f t="shared" si="1"/>
        <v>20</v>
      </c>
      <c r="W25" s="39">
        <v>4.5</v>
      </c>
      <c r="X25" s="31" t="s">
        <v>23</v>
      </c>
      <c r="Y25" s="39">
        <f>W25-1.1</f>
        <v>3.4</v>
      </c>
    </row>
    <row r="26" spans="1:28" ht="15.95" customHeight="1" thickBot="1">
      <c r="A26" s="33" t="s">
        <v>21</v>
      </c>
      <c r="B26" s="33" t="s">
        <v>22</v>
      </c>
      <c r="C26" s="76"/>
      <c r="D26" s="76"/>
      <c r="E26" s="66"/>
      <c r="F26" s="28"/>
      <c r="G26" s="37" t="s">
        <v>45</v>
      </c>
      <c r="H26" s="38" t="s">
        <v>20</v>
      </c>
      <c r="I26" s="33" t="s">
        <v>46</v>
      </c>
      <c r="J26" s="33" t="s">
        <v>41</v>
      </c>
      <c r="K26" s="32" t="s">
        <v>261</v>
      </c>
      <c r="L26" s="28"/>
      <c r="M26" s="28"/>
      <c r="N26" s="28"/>
      <c r="O26" s="28"/>
      <c r="P26" s="28"/>
      <c r="Q26" s="28"/>
      <c r="R26" s="28"/>
      <c r="S26" s="28">
        <v>20</v>
      </c>
      <c r="T26" s="28"/>
      <c r="U26" s="28">
        <v>1</v>
      </c>
      <c r="V26" s="28">
        <f t="shared" si="1"/>
        <v>20</v>
      </c>
      <c r="W26" s="39">
        <v>4.8</v>
      </c>
      <c r="X26" s="31" t="s">
        <v>19</v>
      </c>
      <c r="Y26" s="39">
        <f>W26-1.2</f>
        <v>3.5999999999999996</v>
      </c>
    </row>
    <row r="27" spans="1:28" ht="15.95" customHeight="1" thickBot="1">
      <c r="A27" s="33" t="s">
        <v>21</v>
      </c>
      <c r="B27" s="33" t="s">
        <v>22</v>
      </c>
      <c r="C27" s="76"/>
      <c r="D27" s="76"/>
      <c r="E27" s="66"/>
      <c r="F27" s="28"/>
      <c r="G27" s="37" t="s">
        <v>47</v>
      </c>
      <c r="H27" s="38" t="s">
        <v>20</v>
      </c>
      <c r="I27" s="33" t="s">
        <v>48</v>
      </c>
      <c r="J27" s="33" t="s">
        <v>41</v>
      </c>
      <c r="K27" s="32" t="s">
        <v>262</v>
      </c>
      <c r="L27" s="28"/>
      <c r="M27" s="28"/>
      <c r="N27" s="28"/>
      <c r="O27" s="28">
        <v>30</v>
      </c>
      <c r="P27" s="28"/>
      <c r="Q27" s="28"/>
      <c r="R27" s="28"/>
      <c r="S27" s="28"/>
      <c r="T27" s="28"/>
      <c r="U27" s="28">
        <v>1</v>
      </c>
      <c r="V27" s="28">
        <f t="shared" si="1"/>
        <v>30</v>
      </c>
      <c r="W27" s="39">
        <v>5.7</v>
      </c>
      <c r="X27" s="31" t="s">
        <v>19</v>
      </c>
      <c r="Y27" s="39">
        <f t="shared" si="2"/>
        <v>4.5</v>
      </c>
    </row>
    <row r="28" spans="1:28" ht="15.95" customHeight="1" thickBot="1">
      <c r="A28" s="33" t="s">
        <v>21</v>
      </c>
      <c r="B28" s="33" t="s">
        <v>22</v>
      </c>
      <c r="C28" s="76"/>
      <c r="D28" s="76"/>
      <c r="E28" s="66"/>
      <c r="F28" s="28"/>
      <c r="G28" s="37" t="s">
        <v>49</v>
      </c>
      <c r="H28" s="38" t="s">
        <v>20</v>
      </c>
      <c r="I28" s="33" t="s">
        <v>50</v>
      </c>
      <c r="J28" s="33" t="s">
        <v>41</v>
      </c>
      <c r="K28" s="32" t="s">
        <v>262</v>
      </c>
      <c r="L28" s="28"/>
      <c r="M28" s="28"/>
      <c r="N28" s="28"/>
      <c r="O28" s="28"/>
      <c r="P28" s="28">
        <v>30</v>
      </c>
      <c r="Q28" s="28"/>
      <c r="R28" s="28"/>
      <c r="S28" s="28"/>
      <c r="T28" s="28"/>
      <c r="U28" s="28">
        <v>1</v>
      </c>
      <c r="V28" s="28">
        <f t="shared" si="1"/>
        <v>30</v>
      </c>
      <c r="W28" s="39">
        <v>6</v>
      </c>
      <c r="X28" s="31" t="s">
        <v>19</v>
      </c>
      <c r="Y28" s="39">
        <f t="shared" si="2"/>
        <v>4.8</v>
      </c>
    </row>
    <row r="29" spans="1:28" ht="15.95" customHeight="1" thickBot="1">
      <c r="A29" s="33" t="s">
        <v>21</v>
      </c>
      <c r="B29" s="33" t="s">
        <v>22</v>
      </c>
      <c r="C29" s="76"/>
      <c r="D29" s="76"/>
      <c r="E29" s="66"/>
      <c r="F29" s="28"/>
      <c r="G29" s="37" t="s">
        <v>49</v>
      </c>
      <c r="H29" s="38" t="s">
        <v>20</v>
      </c>
      <c r="I29" s="33" t="s">
        <v>51</v>
      </c>
      <c r="J29" s="33" t="s">
        <v>41</v>
      </c>
      <c r="K29" s="32" t="s">
        <v>262</v>
      </c>
      <c r="L29" s="28"/>
      <c r="M29" s="28"/>
      <c r="N29" s="28"/>
      <c r="O29" s="28"/>
      <c r="P29" s="28">
        <v>30</v>
      </c>
      <c r="Q29" s="28"/>
      <c r="R29" s="28"/>
      <c r="S29" s="28"/>
      <c r="T29" s="28"/>
      <c r="U29" s="28">
        <v>1</v>
      </c>
      <c r="V29" s="28">
        <f t="shared" si="1"/>
        <v>30</v>
      </c>
      <c r="W29" s="39">
        <v>6</v>
      </c>
      <c r="X29" s="31" t="s">
        <v>19</v>
      </c>
      <c r="Y29" s="39">
        <f t="shared" si="2"/>
        <v>4.8</v>
      </c>
    </row>
    <row r="30" spans="1:28" ht="15.95" customHeight="1" thickBot="1">
      <c r="A30" s="33" t="s">
        <v>21</v>
      </c>
      <c r="B30" s="33" t="s">
        <v>22</v>
      </c>
      <c r="C30" s="76"/>
      <c r="D30" s="76"/>
      <c r="E30" s="66"/>
      <c r="F30" s="28"/>
      <c r="G30" s="37" t="s">
        <v>52</v>
      </c>
      <c r="H30" s="38" t="s">
        <v>20</v>
      </c>
      <c r="I30" s="33" t="s">
        <v>53</v>
      </c>
      <c r="J30" s="33" t="s">
        <v>41</v>
      </c>
      <c r="K30" s="32" t="s">
        <v>262</v>
      </c>
      <c r="L30" s="28"/>
      <c r="M30" s="28"/>
      <c r="N30" s="28"/>
      <c r="O30" s="28"/>
      <c r="P30" s="28"/>
      <c r="Q30" s="28">
        <v>30</v>
      </c>
      <c r="R30" s="28"/>
      <c r="S30" s="28"/>
      <c r="T30" s="28"/>
      <c r="U30" s="28">
        <v>1</v>
      </c>
      <c r="V30" s="28">
        <f t="shared" si="1"/>
        <v>30</v>
      </c>
      <c r="W30" s="39">
        <v>6.3</v>
      </c>
      <c r="X30" s="31" t="s">
        <v>19</v>
      </c>
      <c r="Y30" s="39">
        <f t="shared" si="2"/>
        <v>5.0999999999999996</v>
      </c>
    </row>
    <row r="31" spans="1:28" ht="15.95" customHeight="1" thickBot="1">
      <c r="A31" s="33" t="s">
        <v>21</v>
      </c>
      <c r="B31" s="33" t="s">
        <v>22</v>
      </c>
      <c r="C31" s="76"/>
      <c r="D31" s="76"/>
      <c r="E31" s="66"/>
      <c r="F31" s="28"/>
      <c r="G31" s="37" t="s">
        <v>52</v>
      </c>
      <c r="H31" s="38" t="s">
        <v>20</v>
      </c>
      <c r="I31" s="33" t="s">
        <v>54</v>
      </c>
      <c r="J31" s="33" t="s">
        <v>41</v>
      </c>
      <c r="K31" s="32" t="s">
        <v>262</v>
      </c>
      <c r="L31" s="28"/>
      <c r="M31" s="28"/>
      <c r="N31" s="28"/>
      <c r="O31" s="28"/>
      <c r="P31" s="28"/>
      <c r="Q31" s="28">
        <v>30</v>
      </c>
      <c r="R31" s="28"/>
      <c r="S31" s="28"/>
      <c r="T31" s="28"/>
      <c r="U31" s="28">
        <v>1</v>
      </c>
      <c r="V31" s="28">
        <f t="shared" si="1"/>
        <v>30</v>
      </c>
      <c r="W31" s="39">
        <v>6.3</v>
      </c>
      <c r="X31" s="31" t="s">
        <v>19</v>
      </c>
      <c r="Y31" s="39">
        <f t="shared" si="2"/>
        <v>5.0999999999999996</v>
      </c>
    </row>
    <row r="32" spans="1:28" ht="15.95" customHeight="1" thickBot="1">
      <c r="A32" s="33" t="s">
        <v>21</v>
      </c>
      <c r="B32" s="33" t="s">
        <v>22</v>
      </c>
      <c r="C32" s="76"/>
      <c r="D32" s="76"/>
      <c r="E32" s="66"/>
      <c r="F32" s="28"/>
      <c r="G32" s="37" t="s">
        <v>52</v>
      </c>
      <c r="H32" s="38" t="s">
        <v>20</v>
      </c>
      <c r="I32" s="33" t="s">
        <v>55</v>
      </c>
      <c r="J32" s="33" t="s">
        <v>41</v>
      </c>
      <c r="K32" s="32" t="s">
        <v>262</v>
      </c>
      <c r="L32" s="28"/>
      <c r="M32" s="28"/>
      <c r="N32" s="28"/>
      <c r="O32" s="28"/>
      <c r="P32" s="28"/>
      <c r="Q32" s="28">
        <v>10</v>
      </c>
      <c r="R32" s="28"/>
      <c r="S32" s="28"/>
      <c r="T32" s="28"/>
      <c r="U32" s="28">
        <v>1</v>
      </c>
      <c r="V32" s="28">
        <f t="shared" si="1"/>
        <v>10</v>
      </c>
      <c r="W32" s="39">
        <v>2.6</v>
      </c>
      <c r="X32" s="31" t="s">
        <v>24</v>
      </c>
      <c r="Y32" s="39">
        <f>W32-0.9</f>
        <v>1.7000000000000002</v>
      </c>
    </row>
    <row r="33" spans="1:25" ht="15.95" customHeight="1" thickBot="1">
      <c r="A33" s="33" t="s">
        <v>21</v>
      </c>
      <c r="B33" s="33" t="s">
        <v>22</v>
      </c>
      <c r="C33" s="76"/>
      <c r="D33" s="76"/>
      <c r="E33" s="66"/>
      <c r="F33" s="28"/>
      <c r="G33" s="37" t="s">
        <v>56</v>
      </c>
      <c r="H33" s="38" t="s">
        <v>20</v>
      </c>
      <c r="I33" s="33" t="s">
        <v>57</v>
      </c>
      <c r="J33" s="33" t="s">
        <v>41</v>
      </c>
      <c r="K33" s="32" t="s">
        <v>262</v>
      </c>
      <c r="L33" s="28"/>
      <c r="M33" s="28"/>
      <c r="N33" s="28"/>
      <c r="O33" s="28"/>
      <c r="P33" s="28"/>
      <c r="Q33" s="28"/>
      <c r="R33" s="28">
        <v>20</v>
      </c>
      <c r="S33" s="28"/>
      <c r="T33" s="28"/>
      <c r="U33" s="28">
        <v>1</v>
      </c>
      <c r="V33" s="28">
        <f t="shared" si="1"/>
        <v>20</v>
      </c>
      <c r="W33" s="39">
        <v>4.8</v>
      </c>
      <c r="X33" s="31" t="s">
        <v>19</v>
      </c>
      <c r="Y33" s="39">
        <f t="shared" si="2"/>
        <v>3.5999999999999996</v>
      </c>
    </row>
    <row r="34" spans="1:25" ht="15.95" customHeight="1" thickBot="1">
      <c r="A34" s="33" t="s">
        <v>21</v>
      </c>
      <c r="B34" s="33" t="s">
        <v>22</v>
      </c>
      <c r="C34" s="76"/>
      <c r="D34" s="76"/>
      <c r="E34" s="66"/>
      <c r="F34" s="28"/>
      <c r="G34" s="37" t="s">
        <v>56</v>
      </c>
      <c r="H34" s="38" t="s">
        <v>20</v>
      </c>
      <c r="I34" s="33" t="s">
        <v>58</v>
      </c>
      <c r="J34" s="33" t="s">
        <v>41</v>
      </c>
      <c r="K34" s="32" t="s">
        <v>262</v>
      </c>
      <c r="L34" s="28"/>
      <c r="M34" s="28"/>
      <c r="N34" s="28"/>
      <c r="O34" s="28"/>
      <c r="P34" s="28"/>
      <c r="Q34" s="28"/>
      <c r="R34" s="28">
        <v>20</v>
      </c>
      <c r="S34" s="28"/>
      <c r="T34" s="28"/>
      <c r="U34" s="28">
        <v>1</v>
      </c>
      <c r="V34" s="28">
        <f t="shared" si="1"/>
        <v>20</v>
      </c>
      <c r="W34" s="39">
        <v>4.8</v>
      </c>
      <c r="X34" s="31" t="s">
        <v>19</v>
      </c>
      <c r="Y34" s="39">
        <f t="shared" si="2"/>
        <v>3.5999999999999996</v>
      </c>
    </row>
    <row r="35" spans="1:25" ht="15.95" customHeight="1" thickBot="1">
      <c r="A35" s="33" t="s">
        <v>21</v>
      </c>
      <c r="B35" s="33" t="s">
        <v>22</v>
      </c>
      <c r="C35" s="76"/>
      <c r="D35" s="76"/>
      <c r="E35" s="66"/>
      <c r="F35" s="28"/>
      <c r="G35" s="37" t="s">
        <v>56</v>
      </c>
      <c r="H35" s="38" t="s">
        <v>20</v>
      </c>
      <c r="I35" s="33" t="s">
        <v>59</v>
      </c>
      <c r="J35" s="33" t="s">
        <v>41</v>
      </c>
      <c r="K35" s="32" t="s">
        <v>262</v>
      </c>
      <c r="L35" s="28"/>
      <c r="M35" s="28"/>
      <c r="N35" s="28"/>
      <c r="O35" s="28"/>
      <c r="P35" s="28"/>
      <c r="Q35" s="28"/>
      <c r="R35" s="28">
        <v>20</v>
      </c>
      <c r="S35" s="28"/>
      <c r="T35" s="28"/>
      <c r="U35" s="28">
        <v>1</v>
      </c>
      <c r="V35" s="28">
        <f t="shared" si="1"/>
        <v>20</v>
      </c>
      <c r="W35" s="39">
        <v>4.8</v>
      </c>
      <c r="X35" s="31" t="s">
        <v>19</v>
      </c>
      <c r="Y35" s="39">
        <f t="shared" si="2"/>
        <v>3.5999999999999996</v>
      </c>
    </row>
    <row r="36" spans="1:25" ht="15.95" customHeight="1" thickBot="1">
      <c r="A36" s="33" t="s">
        <v>21</v>
      </c>
      <c r="B36" s="33" t="s">
        <v>22</v>
      </c>
      <c r="C36" s="76"/>
      <c r="D36" s="76"/>
      <c r="E36" s="66"/>
      <c r="F36" s="28"/>
      <c r="G36" s="37" t="s">
        <v>56</v>
      </c>
      <c r="H36" s="38" t="s">
        <v>20</v>
      </c>
      <c r="I36" s="33" t="s">
        <v>60</v>
      </c>
      <c r="J36" s="33" t="s">
        <v>41</v>
      </c>
      <c r="K36" s="32" t="s">
        <v>262</v>
      </c>
      <c r="L36" s="28"/>
      <c r="M36" s="28"/>
      <c r="N36" s="28"/>
      <c r="O36" s="28"/>
      <c r="P36" s="28"/>
      <c r="Q36" s="28"/>
      <c r="R36" s="28">
        <v>20</v>
      </c>
      <c r="S36" s="28"/>
      <c r="T36" s="28"/>
      <c r="U36" s="28">
        <v>1</v>
      </c>
      <c r="V36" s="28">
        <f t="shared" si="1"/>
        <v>20</v>
      </c>
      <c r="W36" s="39">
        <v>4.8</v>
      </c>
      <c r="X36" s="31" t="s">
        <v>19</v>
      </c>
      <c r="Y36" s="39">
        <f t="shared" si="2"/>
        <v>3.5999999999999996</v>
      </c>
    </row>
    <row r="37" spans="1:25" ht="15.95" customHeight="1" thickBot="1">
      <c r="A37" s="33" t="s">
        <v>21</v>
      </c>
      <c r="B37" s="33" t="s">
        <v>22</v>
      </c>
      <c r="C37" s="76"/>
      <c r="D37" s="76"/>
      <c r="E37" s="66"/>
      <c r="F37" s="28"/>
      <c r="G37" s="37" t="s">
        <v>61</v>
      </c>
      <c r="H37" s="38" t="s">
        <v>20</v>
      </c>
      <c r="I37" s="33" t="s">
        <v>62</v>
      </c>
      <c r="J37" s="33" t="s">
        <v>41</v>
      </c>
      <c r="K37" s="32" t="s">
        <v>262</v>
      </c>
      <c r="L37" s="28"/>
      <c r="M37" s="28"/>
      <c r="N37" s="28"/>
      <c r="O37" s="28"/>
      <c r="P37" s="28"/>
      <c r="Q37" s="28"/>
      <c r="R37" s="28"/>
      <c r="S37" s="28">
        <v>15</v>
      </c>
      <c r="T37" s="28"/>
      <c r="U37" s="28">
        <v>1</v>
      </c>
      <c r="V37" s="28">
        <f t="shared" si="1"/>
        <v>15</v>
      </c>
      <c r="W37" s="39">
        <v>4.2</v>
      </c>
      <c r="X37" s="31" t="s">
        <v>19</v>
      </c>
      <c r="Y37" s="39">
        <f t="shared" si="2"/>
        <v>3</v>
      </c>
    </row>
    <row r="38" spans="1:25" ht="15.95" customHeight="1" thickBot="1">
      <c r="A38" s="33" t="s">
        <v>21</v>
      </c>
      <c r="B38" s="33" t="s">
        <v>22</v>
      </c>
      <c r="C38" s="76"/>
      <c r="D38" s="76"/>
      <c r="E38" s="66"/>
      <c r="F38" s="28"/>
      <c r="G38" s="37" t="s">
        <v>61</v>
      </c>
      <c r="H38" s="38" t="s">
        <v>20</v>
      </c>
      <c r="I38" s="33" t="s">
        <v>63</v>
      </c>
      <c r="J38" s="33" t="s">
        <v>41</v>
      </c>
      <c r="K38" s="32" t="s">
        <v>262</v>
      </c>
      <c r="L38" s="28"/>
      <c r="M38" s="28"/>
      <c r="N38" s="28"/>
      <c r="O38" s="28"/>
      <c r="P38" s="28"/>
      <c r="Q38" s="28"/>
      <c r="R38" s="28"/>
      <c r="S38" s="28">
        <v>5</v>
      </c>
      <c r="T38" s="28"/>
      <c r="U38" s="28">
        <v>1</v>
      </c>
      <c r="V38" s="28">
        <f t="shared" si="1"/>
        <v>5</v>
      </c>
      <c r="W38" s="39">
        <v>1.9</v>
      </c>
      <c r="X38" s="31" t="s">
        <v>24</v>
      </c>
      <c r="Y38" s="39">
        <f t="shared" ref="Y38:Y42" si="3">W38-0.9</f>
        <v>0.99999999999999989</v>
      </c>
    </row>
    <row r="39" spans="1:25" ht="15.95" customHeight="1" thickBot="1">
      <c r="A39" s="33" t="s">
        <v>21</v>
      </c>
      <c r="B39" s="33" t="s">
        <v>22</v>
      </c>
      <c r="C39" s="76"/>
      <c r="D39" s="76"/>
      <c r="E39" s="66"/>
      <c r="F39" s="28"/>
      <c r="G39" s="37" t="s">
        <v>64</v>
      </c>
      <c r="H39" s="38" t="s">
        <v>20</v>
      </c>
      <c r="I39" s="33" t="s">
        <v>65</v>
      </c>
      <c r="J39" s="33" t="s">
        <v>41</v>
      </c>
      <c r="K39" s="32" t="s">
        <v>262</v>
      </c>
      <c r="L39" s="28"/>
      <c r="M39" s="28"/>
      <c r="N39" s="28"/>
      <c r="O39" s="28"/>
      <c r="P39" s="28"/>
      <c r="Q39" s="28"/>
      <c r="R39" s="28"/>
      <c r="S39" s="28"/>
      <c r="T39" s="28">
        <v>15</v>
      </c>
      <c r="U39" s="28">
        <v>1</v>
      </c>
      <c r="V39" s="28">
        <f t="shared" si="1"/>
        <v>15</v>
      </c>
      <c r="W39" s="39">
        <v>4.3499999999999996</v>
      </c>
      <c r="X39" s="31" t="s">
        <v>19</v>
      </c>
      <c r="Y39" s="39">
        <f t="shared" si="2"/>
        <v>3.1499999999999995</v>
      </c>
    </row>
    <row r="40" spans="1:25" ht="15.95" customHeight="1" thickBot="1">
      <c r="A40" s="33" t="s">
        <v>21</v>
      </c>
      <c r="B40" s="33" t="s">
        <v>22</v>
      </c>
      <c r="C40" s="76"/>
      <c r="D40" s="76"/>
      <c r="E40" s="66"/>
      <c r="F40" s="28"/>
      <c r="G40" s="37" t="s">
        <v>64</v>
      </c>
      <c r="H40" s="38" t="s">
        <v>20</v>
      </c>
      <c r="I40" s="33" t="s">
        <v>66</v>
      </c>
      <c r="J40" s="33" t="s">
        <v>41</v>
      </c>
      <c r="K40" s="32" t="s">
        <v>262</v>
      </c>
      <c r="L40" s="28"/>
      <c r="M40" s="28"/>
      <c r="N40" s="28"/>
      <c r="O40" s="28"/>
      <c r="P40" s="28"/>
      <c r="Q40" s="28"/>
      <c r="R40" s="28"/>
      <c r="S40" s="28"/>
      <c r="T40" s="28">
        <v>5</v>
      </c>
      <c r="U40" s="28">
        <v>1</v>
      </c>
      <c r="V40" s="28">
        <f t="shared" si="1"/>
        <v>5</v>
      </c>
      <c r="W40" s="39">
        <v>1.95</v>
      </c>
      <c r="X40" s="31" t="s">
        <v>24</v>
      </c>
      <c r="Y40" s="39">
        <f t="shared" si="3"/>
        <v>1.0499999999999998</v>
      </c>
    </row>
    <row r="41" spans="1:25" ht="15.95" customHeight="1" thickBot="1">
      <c r="A41" s="33" t="s">
        <v>21</v>
      </c>
      <c r="B41" s="33" t="s">
        <v>22</v>
      </c>
      <c r="C41" s="76"/>
      <c r="D41" s="76"/>
      <c r="E41" s="66"/>
      <c r="F41" s="28"/>
      <c r="G41" s="37" t="s">
        <v>67</v>
      </c>
      <c r="H41" s="38" t="s">
        <v>20</v>
      </c>
      <c r="I41" s="33" t="s">
        <v>68</v>
      </c>
      <c r="J41" s="33" t="s">
        <v>41</v>
      </c>
      <c r="K41" s="32" t="s">
        <v>263</v>
      </c>
      <c r="L41" s="28"/>
      <c r="M41" s="28"/>
      <c r="N41" s="28"/>
      <c r="O41" s="28">
        <v>30</v>
      </c>
      <c r="P41" s="28"/>
      <c r="Q41" s="28"/>
      <c r="R41" s="28"/>
      <c r="S41" s="28"/>
      <c r="T41" s="28"/>
      <c r="U41" s="28">
        <v>1</v>
      </c>
      <c r="V41" s="28">
        <f t="shared" si="1"/>
        <v>30</v>
      </c>
      <c r="W41" s="39">
        <v>6</v>
      </c>
      <c r="X41" s="31" t="s">
        <v>19</v>
      </c>
      <c r="Y41" s="39">
        <f t="shared" si="2"/>
        <v>4.8</v>
      </c>
    </row>
    <row r="42" spans="1:25" ht="15.95" customHeight="1" thickBot="1">
      <c r="A42" s="33" t="s">
        <v>21</v>
      </c>
      <c r="B42" s="33" t="s">
        <v>22</v>
      </c>
      <c r="C42" s="76"/>
      <c r="D42" s="76"/>
      <c r="E42" s="66"/>
      <c r="F42" s="28"/>
      <c r="G42" s="37" t="s">
        <v>67</v>
      </c>
      <c r="H42" s="38" t="s">
        <v>20</v>
      </c>
      <c r="I42" s="33" t="s">
        <v>69</v>
      </c>
      <c r="J42" s="33" t="s">
        <v>41</v>
      </c>
      <c r="K42" s="32" t="s">
        <v>263</v>
      </c>
      <c r="L42" s="28"/>
      <c r="M42" s="28"/>
      <c r="N42" s="28"/>
      <c r="O42" s="28">
        <v>10</v>
      </c>
      <c r="P42" s="28"/>
      <c r="Q42" s="28"/>
      <c r="R42" s="28"/>
      <c r="S42" s="28"/>
      <c r="T42" s="28"/>
      <c r="U42" s="28">
        <v>1</v>
      </c>
      <c r="V42" s="28">
        <f t="shared" si="1"/>
        <v>10</v>
      </c>
      <c r="W42" s="39">
        <v>2.5</v>
      </c>
      <c r="X42" s="31" t="s">
        <v>24</v>
      </c>
      <c r="Y42" s="39">
        <f t="shared" si="3"/>
        <v>1.6</v>
      </c>
    </row>
    <row r="43" spans="1:25" ht="15.95" customHeight="1" thickBot="1">
      <c r="A43" s="33" t="s">
        <v>21</v>
      </c>
      <c r="B43" s="33" t="s">
        <v>22</v>
      </c>
      <c r="C43" s="76"/>
      <c r="D43" s="76"/>
      <c r="E43" s="66"/>
      <c r="F43" s="28"/>
      <c r="G43" s="37" t="s">
        <v>70</v>
      </c>
      <c r="H43" s="38" t="s">
        <v>20</v>
      </c>
      <c r="I43" s="33" t="s">
        <v>71</v>
      </c>
      <c r="J43" s="33" t="s">
        <v>41</v>
      </c>
      <c r="K43" s="32" t="s">
        <v>263</v>
      </c>
      <c r="L43" s="28"/>
      <c r="M43" s="28"/>
      <c r="N43" s="28"/>
      <c r="O43" s="28"/>
      <c r="P43" s="28">
        <v>30</v>
      </c>
      <c r="Q43" s="28"/>
      <c r="R43" s="28"/>
      <c r="S43" s="28"/>
      <c r="T43" s="28"/>
      <c r="U43" s="28">
        <v>1</v>
      </c>
      <c r="V43" s="28">
        <f t="shared" si="1"/>
        <v>30</v>
      </c>
      <c r="W43" s="39">
        <v>6.3</v>
      </c>
      <c r="X43" s="31" t="s">
        <v>19</v>
      </c>
      <c r="Y43" s="39">
        <f t="shared" si="2"/>
        <v>5.0999999999999996</v>
      </c>
    </row>
    <row r="44" spans="1:25" ht="15.95" customHeight="1" thickBot="1">
      <c r="A44" s="33" t="s">
        <v>21</v>
      </c>
      <c r="B44" s="33" t="s">
        <v>22</v>
      </c>
      <c r="C44" s="76"/>
      <c r="D44" s="76"/>
      <c r="E44" s="66"/>
      <c r="F44" s="28"/>
      <c r="G44" s="37" t="s">
        <v>70</v>
      </c>
      <c r="H44" s="38" t="s">
        <v>20</v>
      </c>
      <c r="I44" s="33" t="s">
        <v>72</v>
      </c>
      <c r="J44" s="33" t="s">
        <v>41</v>
      </c>
      <c r="K44" s="32" t="s">
        <v>263</v>
      </c>
      <c r="L44" s="28"/>
      <c r="M44" s="28"/>
      <c r="N44" s="28"/>
      <c r="O44" s="28"/>
      <c r="P44" s="28">
        <v>30</v>
      </c>
      <c r="Q44" s="28"/>
      <c r="R44" s="28"/>
      <c r="S44" s="28"/>
      <c r="T44" s="28"/>
      <c r="U44" s="28">
        <v>1</v>
      </c>
      <c r="V44" s="28">
        <f t="shared" si="1"/>
        <v>30</v>
      </c>
      <c r="W44" s="39">
        <v>6.3</v>
      </c>
      <c r="X44" s="31" t="s">
        <v>19</v>
      </c>
      <c r="Y44" s="39">
        <f t="shared" si="2"/>
        <v>5.0999999999999996</v>
      </c>
    </row>
    <row r="45" spans="1:25" ht="15.95" customHeight="1" thickBot="1">
      <c r="A45" s="33" t="s">
        <v>21</v>
      </c>
      <c r="B45" s="33" t="s">
        <v>22</v>
      </c>
      <c r="C45" s="76"/>
      <c r="D45" s="76"/>
      <c r="E45" s="66"/>
      <c r="F45" s="28"/>
      <c r="G45" s="37" t="s">
        <v>70</v>
      </c>
      <c r="H45" s="38" t="s">
        <v>20</v>
      </c>
      <c r="I45" s="33" t="s">
        <v>73</v>
      </c>
      <c r="J45" s="33" t="s">
        <v>41</v>
      </c>
      <c r="K45" s="32" t="s">
        <v>263</v>
      </c>
      <c r="L45" s="28"/>
      <c r="M45" s="28"/>
      <c r="N45" s="28"/>
      <c r="O45" s="28"/>
      <c r="P45" s="28">
        <v>30</v>
      </c>
      <c r="Q45" s="28"/>
      <c r="R45" s="28"/>
      <c r="S45" s="28"/>
      <c r="T45" s="28"/>
      <c r="U45" s="28">
        <v>1</v>
      </c>
      <c r="V45" s="28">
        <f t="shared" si="1"/>
        <v>30</v>
      </c>
      <c r="W45" s="39">
        <v>6.3</v>
      </c>
      <c r="X45" s="31" t="s">
        <v>19</v>
      </c>
      <c r="Y45" s="39">
        <f t="shared" si="2"/>
        <v>5.0999999999999996</v>
      </c>
    </row>
    <row r="46" spans="1:25" ht="15.95" customHeight="1" thickBot="1">
      <c r="A46" s="33" t="s">
        <v>21</v>
      </c>
      <c r="B46" s="33" t="s">
        <v>22</v>
      </c>
      <c r="C46" s="76"/>
      <c r="D46" s="76"/>
      <c r="E46" s="66"/>
      <c r="F46" s="28"/>
      <c r="G46" s="37" t="s">
        <v>70</v>
      </c>
      <c r="H46" s="38" t="s">
        <v>20</v>
      </c>
      <c r="I46" s="33" t="s">
        <v>74</v>
      </c>
      <c r="J46" s="33" t="s">
        <v>41</v>
      </c>
      <c r="K46" s="32" t="s">
        <v>263</v>
      </c>
      <c r="L46" s="28"/>
      <c r="M46" s="28"/>
      <c r="N46" s="28"/>
      <c r="O46" s="28"/>
      <c r="P46" s="28">
        <v>15</v>
      </c>
      <c r="Q46" s="28"/>
      <c r="R46" s="28"/>
      <c r="S46" s="28"/>
      <c r="T46" s="28"/>
      <c r="U46" s="28">
        <v>1</v>
      </c>
      <c r="V46" s="28">
        <f t="shared" si="1"/>
        <v>15</v>
      </c>
      <c r="W46" s="39">
        <v>3.65</v>
      </c>
      <c r="X46" s="31" t="s">
        <v>23</v>
      </c>
      <c r="Y46" s="39">
        <f>W46-1.1</f>
        <v>2.5499999999999998</v>
      </c>
    </row>
    <row r="47" spans="1:25" ht="15.95" customHeight="1" thickBot="1">
      <c r="A47" s="33" t="s">
        <v>21</v>
      </c>
      <c r="B47" s="33" t="s">
        <v>22</v>
      </c>
      <c r="C47" s="76"/>
      <c r="D47" s="76"/>
      <c r="E47" s="66"/>
      <c r="F47" s="28"/>
      <c r="G47" s="37" t="s">
        <v>75</v>
      </c>
      <c r="H47" s="38" t="s">
        <v>20</v>
      </c>
      <c r="I47" s="33" t="s">
        <v>76</v>
      </c>
      <c r="J47" s="33" t="s">
        <v>41</v>
      </c>
      <c r="K47" s="32" t="s">
        <v>263</v>
      </c>
      <c r="L47" s="28"/>
      <c r="M47" s="28"/>
      <c r="N47" s="28"/>
      <c r="O47" s="28"/>
      <c r="P47" s="28"/>
      <c r="Q47" s="28">
        <v>30</v>
      </c>
      <c r="R47" s="28"/>
      <c r="S47" s="28"/>
      <c r="T47" s="28"/>
      <c r="U47" s="28">
        <v>1</v>
      </c>
      <c r="V47" s="28">
        <f t="shared" ref="V47:V59" si="4">SUM(L47:T47)</f>
        <v>30</v>
      </c>
      <c r="W47" s="39">
        <v>6.6</v>
      </c>
      <c r="X47" s="31" t="s">
        <v>19</v>
      </c>
      <c r="Y47" s="39">
        <f t="shared" si="2"/>
        <v>5.3999999999999995</v>
      </c>
    </row>
    <row r="48" spans="1:25" ht="15.95" customHeight="1" thickBot="1">
      <c r="A48" s="33" t="s">
        <v>21</v>
      </c>
      <c r="B48" s="33" t="s">
        <v>22</v>
      </c>
      <c r="C48" s="76"/>
      <c r="D48" s="76"/>
      <c r="E48" s="66"/>
      <c r="F48" s="28"/>
      <c r="G48" s="37" t="s">
        <v>75</v>
      </c>
      <c r="H48" s="38" t="s">
        <v>20</v>
      </c>
      <c r="I48" s="33" t="s">
        <v>77</v>
      </c>
      <c r="J48" s="33" t="s">
        <v>41</v>
      </c>
      <c r="K48" s="32" t="s">
        <v>263</v>
      </c>
      <c r="L48" s="28"/>
      <c r="M48" s="28"/>
      <c r="N48" s="28"/>
      <c r="O48" s="28"/>
      <c r="P48" s="28"/>
      <c r="Q48" s="28">
        <v>30</v>
      </c>
      <c r="R48" s="28"/>
      <c r="S48" s="28"/>
      <c r="T48" s="28"/>
      <c r="U48" s="28">
        <v>1</v>
      </c>
      <c r="V48" s="28">
        <f t="shared" si="4"/>
        <v>30</v>
      </c>
      <c r="W48" s="39">
        <v>6.6</v>
      </c>
      <c r="X48" s="31" t="s">
        <v>19</v>
      </c>
      <c r="Y48" s="39">
        <f t="shared" si="2"/>
        <v>5.3999999999999995</v>
      </c>
    </row>
    <row r="49" spans="1:25" ht="15.95" customHeight="1" thickBot="1">
      <c r="A49" s="33" t="s">
        <v>21</v>
      </c>
      <c r="B49" s="33" t="s">
        <v>22</v>
      </c>
      <c r="C49" s="76"/>
      <c r="D49" s="76"/>
      <c r="E49" s="66"/>
      <c r="F49" s="28"/>
      <c r="G49" s="37" t="s">
        <v>75</v>
      </c>
      <c r="H49" s="38" t="s">
        <v>20</v>
      </c>
      <c r="I49" s="33" t="s">
        <v>78</v>
      </c>
      <c r="J49" s="33" t="s">
        <v>41</v>
      </c>
      <c r="K49" s="32" t="s">
        <v>263</v>
      </c>
      <c r="L49" s="28"/>
      <c r="M49" s="28"/>
      <c r="N49" s="28"/>
      <c r="O49" s="28"/>
      <c r="P49" s="28"/>
      <c r="Q49" s="28">
        <v>30</v>
      </c>
      <c r="R49" s="28"/>
      <c r="S49" s="28"/>
      <c r="T49" s="28"/>
      <c r="U49" s="28">
        <v>1</v>
      </c>
      <c r="V49" s="28">
        <f t="shared" si="4"/>
        <v>30</v>
      </c>
      <c r="W49" s="39">
        <v>6.6</v>
      </c>
      <c r="X49" s="31" t="s">
        <v>19</v>
      </c>
      <c r="Y49" s="39">
        <f t="shared" si="2"/>
        <v>5.3999999999999995</v>
      </c>
    </row>
    <row r="50" spans="1:25" ht="15.95" customHeight="1" thickBot="1">
      <c r="A50" s="33" t="s">
        <v>21</v>
      </c>
      <c r="B50" s="33" t="s">
        <v>22</v>
      </c>
      <c r="C50" s="76"/>
      <c r="D50" s="76"/>
      <c r="E50" s="66"/>
      <c r="F50" s="28"/>
      <c r="G50" s="37" t="s">
        <v>75</v>
      </c>
      <c r="H50" s="38" t="s">
        <v>20</v>
      </c>
      <c r="I50" s="33" t="s">
        <v>79</v>
      </c>
      <c r="J50" s="33" t="s">
        <v>41</v>
      </c>
      <c r="K50" s="32" t="s">
        <v>263</v>
      </c>
      <c r="L50" s="28"/>
      <c r="M50" s="28"/>
      <c r="N50" s="28"/>
      <c r="O50" s="28"/>
      <c r="P50" s="28"/>
      <c r="Q50" s="28">
        <v>25</v>
      </c>
      <c r="R50" s="28"/>
      <c r="S50" s="28"/>
      <c r="T50" s="28"/>
      <c r="U50" s="28">
        <v>1</v>
      </c>
      <c r="V50" s="28">
        <f t="shared" si="4"/>
        <v>25</v>
      </c>
      <c r="W50" s="39">
        <v>5.7</v>
      </c>
      <c r="X50" s="31" t="s">
        <v>19</v>
      </c>
      <c r="Y50" s="39">
        <f t="shared" si="2"/>
        <v>4.5</v>
      </c>
    </row>
    <row r="51" spans="1:25" ht="15.95" customHeight="1" thickBot="1">
      <c r="A51" s="33" t="s">
        <v>21</v>
      </c>
      <c r="B51" s="33" t="s">
        <v>22</v>
      </c>
      <c r="C51" s="76"/>
      <c r="D51" s="76"/>
      <c r="E51" s="66"/>
      <c r="F51" s="28"/>
      <c r="G51" s="37" t="s">
        <v>80</v>
      </c>
      <c r="H51" s="38" t="s">
        <v>20</v>
      </c>
      <c r="I51" s="33" t="s">
        <v>81</v>
      </c>
      <c r="J51" s="33" t="s">
        <v>41</v>
      </c>
      <c r="K51" s="32" t="s">
        <v>263</v>
      </c>
      <c r="L51" s="28"/>
      <c r="M51" s="28"/>
      <c r="N51" s="28"/>
      <c r="O51" s="28"/>
      <c r="P51" s="28"/>
      <c r="Q51" s="28"/>
      <c r="R51" s="28">
        <v>20</v>
      </c>
      <c r="S51" s="28"/>
      <c r="T51" s="28"/>
      <c r="U51" s="28">
        <v>1</v>
      </c>
      <c r="V51" s="28">
        <f t="shared" si="4"/>
        <v>20</v>
      </c>
      <c r="W51" s="39">
        <v>5.2</v>
      </c>
      <c r="X51" s="31" t="s">
        <v>19</v>
      </c>
      <c r="Y51" s="39">
        <f t="shared" si="2"/>
        <v>4</v>
      </c>
    </row>
    <row r="52" spans="1:25" ht="15.95" customHeight="1" thickBot="1">
      <c r="A52" s="33" t="s">
        <v>21</v>
      </c>
      <c r="B52" s="33" t="s">
        <v>22</v>
      </c>
      <c r="C52" s="76"/>
      <c r="D52" s="76"/>
      <c r="E52" s="66"/>
      <c r="F52" s="28"/>
      <c r="G52" s="37" t="s">
        <v>80</v>
      </c>
      <c r="H52" s="38" t="s">
        <v>20</v>
      </c>
      <c r="I52" s="33" t="s">
        <v>82</v>
      </c>
      <c r="J52" s="33" t="s">
        <v>41</v>
      </c>
      <c r="K52" s="32" t="s">
        <v>263</v>
      </c>
      <c r="L52" s="28"/>
      <c r="M52" s="28"/>
      <c r="N52" s="28"/>
      <c r="O52" s="28"/>
      <c r="P52" s="28"/>
      <c r="Q52" s="28"/>
      <c r="R52" s="28">
        <v>20</v>
      </c>
      <c r="S52" s="28"/>
      <c r="T52" s="28"/>
      <c r="U52" s="28">
        <v>1</v>
      </c>
      <c r="V52" s="28">
        <f t="shared" si="4"/>
        <v>20</v>
      </c>
      <c r="W52" s="39">
        <v>5.2</v>
      </c>
      <c r="X52" s="31" t="s">
        <v>19</v>
      </c>
      <c r="Y52" s="39">
        <f t="shared" si="2"/>
        <v>4</v>
      </c>
    </row>
    <row r="53" spans="1:25" ht="15.95" customHeight="1" thickBot="1">
      <c r="A53" s="33" t="s">
        <v>21</v>
      </c>
      <c r="B53" s="33" t="s">
        <v>22</v>
      </c>
      <c r="C53" s="76"/>
      <c r="D53" s="76"/>
      <c r="E53" s="66"/>
      <c r="F53" s="28"/>
      <c r="G53" s="37" t="s">
        <v>80</v>
      </c>
      <c r="H53" s="38" t="s">
        <v>20</v>
      </c>
      <c r="I53" s="33" t="s">
        <v>83</v>
      </c>
      <c r="J53" s="33" t="s">
        <v>41</v>
      </c>
      <c r="K53" s="32" t="s">
        <v>263</v>
      </c>
      <c r="L53" s="28"/>
      <c r="M53" s="28"/>
      <c r="N53" s="28"/>
      <c r="O53" s="28"/>
      <c r="P53" s="28"/>
      <c r="Q53" s="28"/>
      <c r="R53" s="28">
        <v>20</v>
      </c>
      <c r="S53" s="28"/>
      <c r="T53" s="28"/>
      <c r="U53" s="28">
        <v>1</v>
      </c>
      <c r="V53" s="28">
        <f t="shared" si="4"/>
        <v>20</v>
      </c>
      <c r="W53" s="39">
        <v>5.2</v>
      </c>
      <c r="X53" s="31" t="s">
        <v>19</v>
      </c>
      <c r="Y53" s="39">
        <f t="shared" si="2"/>
        <v>4</v>
      </c>
    </row>
    <row r="54" spans="1:25" ht="15.95" customHeight="1" thickBot="1">
      <c r="A54" s="33" t="s">
        <v>21</v>
      </c>
      <c r="B54" s="33" t="s">
        <v>22</v>
      </c>
      <c r="C54" s="76"/>
      <c r="D54" s="76"/>
      <c r="E54" s="66"/>
      <c r="F54" s="28"/>
      <c r="G54" s="37" t="s">
        <v>80</v>
      </c>
      <c r="H54" s="38" t="s">
        <v>20</v>
      </c>
      <c r="I54" s="33" t="s">
        <v>84</v>
      </c>
      <c r="J54" s="33" t="s">
        <v>41</v>
      </c>
      <c r="K54" s="32" t="s">
        <v>263</v>
      </c>
      <c r="L54" s="28"/>
      <c r="M54" s="28"/>
      <c r="N54" s="28"/>
      <c r="O54" s="28"/>
      <c r="P54" s="28"/>
      <c r="Q54" s="28"/>
      <c r="R54" s="28">
        <v>20</v>
      </c>
      <c r="S54" s="28"/>
      <c r="T54" s="28"/>
      <c r="U54" s="28">
        <v>1</v>
      </c>
      <c r="V54" s="28">
        <f t="shared" si="4"/>
        <v>20</v>
      </c>
      <c r="W54" s="39">
        <v>5.2</v>
      </c>
      <c r="X54" s="31" t="s">
        <v>19</v>
      </c>
      <c r="Y54" s="39">
        <f t="shared" si="2"/>
        <v>4</v>
      </c>
    </row>
    <row r="55" spans="1:25" ht="15.95" customHeight="1" thickBot="1">
      <c r="A55" s="33" t="s">
        <v>21</v>
      </c>
      <c r="B55" s="33" t="s">
        <v>22</v>
      </c>
      <c r="C55" s="76"/>
      <c r="D55" s="76"/>
      <c r="E55" s="66"/>
      <c r="F55" s="28"/>
      <c r="G55" s="37" t="s">
        <v>80</v>
      </c>
      <c r="H55" s="38" t="s">
        <v>20</v>
      </c>
      <c r="I55" s="33" t="s">
        <v>85</v>
      </c>
      <c r="J55" s="33" t="s">
        <v>41</v>
      </c>
      <c r="K55" s="32" t="s">
        <v>263</v>
      </c>
      <c r="L55" s="28"/>
      <c r="M55" s="28"/>
      <c r="N55" s="28"/>
      <c r="O55" s="28"/>
      <c r="P55" s="28"/>
      <c r="Q55" s="28"/>
      <c r="R55" s="28">
        <v>20</v>
      </c>
      <c r="S55" s="28"/>
      <c r="T55" s="28"/>
      <c r="U55" s="28">
        <v>1</v>
      </c>
      <c r="V55" s="28">
        <f t="shared" si="4"/>
        <v>20</v>
      </c>
      <c r="W55" s="39">
        <v>5.2</v>
      </c>
      <c r="X55" s="31" t="s">
        <v>19</v>
      </c>
      <c r="Y55" s="39">
        <f t="shared" si="2"/>
        <v>4</v>
      </c>
    </row>
    <row r="56" spans="1:25" ht="15.95" customHeight="1" thickBot="1">
      <c r="A56" s="33" t="s">
        <v>21</v>
      </c>
      <c r="B56" s="33" t="s">
        <v>22</v>
      </c>
      <c r="C56" s="76"/>
      <c r="D56" s="76"/>
      <c r="E56" s="66"/>
      <c r="F56" s="28"/>
      <c r="G56" s="37" t="s">
        <v>80</v>
      </c>
      <c r="H56" s="38" t="s">
        <v>20</v>
      </c>
      <c r="I56" s="33" t="s">
        <v>86</v>
      </c>
      <c r="J56" s="33" t="s">
        <v>41</v>
      </c>
      <c r="K56" s="32" t="s">
        <v>263</v>
      </c>
      <c r="L56" s="28"/>
      <c r="M56" s="28"/>
      <c r="N56" s="28"/>
      <c r="O56" s="28"/>
      <c r="P56" s="28"/>
      <c r="Q56" s="28"/>
      <c r="R56" s="28">
        <v>20</v>
      </c>
      <c r="S56" s="28"/>
      <c r="T56" s="28"/>
      <c r="U56" s="28">
        <v>1</v>
      </c>
      <c r="V56" s="28">
        <f t="shared" si="4"/>
        <v>20</v>
      </c>
      <c r="W56" s="39">
        <v>5.2</v>
      </c>
      <c r="X56" s="31" t="s">
        <v>19</v>
      </c>
      <c r="Y56" s="39">
        <f t="shared" si="2"/>
        <v>4</v>
      </c>
    </row>
    <row r="57" spans="1:25" ht="15.95" customHeight="1" thickBot="1">
      <c r="A57" s="33" t="s">
        <v>21</v>
      </c>
      <c r="B57" s="33" t="s">
        <v>22</v>
      </c>
      <c r="C57" s="76"/>
      <c r="D57" s="76"/>
      <c r="E57" s="66"/>
      <c r="F57" s="28"/>
      <c r="G57" s="37" t="s">
        <v>87</v>
      </c>
      <c r="H57" s="38" t="s">
        <v>20</v>
      </c>
      <c r="I57" s="33" t="s">
        <v>88</v>
      </c>
      <c r="J57" s="33" t="s">
        <v>41</v>
      </c>
      <c r="K57" s="32" t="s">
        <v>263</v>
      </c>
      <c r="L57" s="28"/>
      <c r="M57" s="28"/>
      <c r="N57" s="28"/>
      <c r="O57" s="28"/>
      <c r="P57" s="28"/>
      <c r="Q57" s="28"/>
      <c r="R57" s="28"/>
      <c r="S57" s="28">
        <v>15</v>
      </c>
      <c r="T57" s="28"/>
      <c r="U57" s="28">
        <v>1</v>
      </c>
      <c r="V57" s="28">
        <f t="shared" si="4"/>
        <v>15</v>
      </c>
      <c r="W57" s="39">
        <v>4.3499999999999996</v>
      </c>
      <c r="X57" s="31" t="s">
        <v>19</v>
      </c>
      <c r="Y57" s="39">
        <f t="shared" si="2"/>
        <v>3.1499999999999995</v>
      </c>
    </row>
    <row r="58" spans="1:25" ht="15.95" customHeight="1" thickBot="1">
      <c r="A58" s="33" t="s">
        <v>21</v>
      </c>
      <c r="B58" s="33" t="s">
        <v>22</v>
      </c>
      <c r="C58" s="76"/>
      <c r="D58" s="76"/>
      <c r="E58" s="66"/>
      <c r="F58" s="28"/>
      <c r="G58" s="37" t="s">
        <v>87</v>
      </c>
      <c r="H58" s="38" t="s">
        <v>20</v>
      </c>
      <c r="I58" s="33" t="s">
        <v>89</v>
      </c>
      <c r="J58" s="33" t="s">
        <v>41</v>
      </c>
      <c r="K58" s="32" t="s">
        <v>263</v>
      </c>
      <c r="L58" s="28"/>
      <c r="M58" s="28"/>
      <c r="N58" s="28"/>
      <c r="O58" s="28"/>
      <c r="P58" s="28"/>
      <c r="Q58" s="28"/>
      <c r="R58" s="28"/>
      <c r="S58" s="28">
        <v>15</v>
      </c>
      <c r="T58" s="28"/>
      <c r="U58" s="28">
        <v>1</v>
      </c>
      <c r="V58" s="28">
        <f t="shared" si="4"/>
        <v>15</v>
      </c>
      <c r="W58" s="39">
        <v>4.3499999999999996</v>
      </c>
      <c r="X58" s="31" t="s">
        <v>19</v>
      </c>
      <c r="Y58" s="39">
        <f t="shared" si="2"/>
        <v>3.1499999999999995</v>
      </c>
    </row>
    <row r="59" spans="1:25" ht="15.95" customHeight="1" thickBot="1">
      <c r="A59" s="33" t="s">
        <v>21</v>
      </c>
      <c r="B59" s="33" t="s">
        <v>22</v>
      </c>
      <c r="C59" s="76"/>
      <c r="D59" s="76"/>
      <c r="E59" s="66"/>
      <c r="F59" s="28"/>
      <c r="G59" s="37" t="s">
        <v>90</v>
      </c>
      <c r="H59" s="38" t="s">
        <v>20</v>
      </c>
      <c r="I59" s="33" t="s">
        <v>91</v>
      </c>
      <c r="J59" s="33" t="s">
        <v>41</v>
      </c>
      <c r="K59" s="32" t="s">
        <v>263</v>
      </c>
      <c r="L59" s="28"/>
      <c r="M59" s="28"/>
      <c r="N59" s="28"/>
      <c r="O59" s="28"/>
      <c r="P59" s="28"/>
      <c r="Q59" s="28"/>
      <c r="R59" s="28"/>
      <c r="S59" s="28"/>
      <c r="T59" s="28">
        <v>15</v>
      </c>
      <c r="U59" s="28">
        <v>1</v>
      </c>
      <c r="V59" s="28">
        <f t="shared" si="4"/>
        <v>15</v>
      </c>
      <c r="W59" s="39">
        <v>4.5</v>
      </c>
      <c r="X59" s="31" t="s">
        <v>19</v>
      </c>
      <c r="Y59" s="39">
        <f t="shared" si="2"/>
        <v>3.3</v>
      </c>
    </row>
    <row r="60" spans="1:25" ht="15.95" customHeight="1" thickBot="1">
      <c r="A60" s="33" t="s">
        <v>21</v>
      </c>
      <c r="B60" s="33" t="s">
        <v>22</v>
      </c>
      <c r="C60" s="76"/>
      <c r="D60" s="76"/>
      <c r="E60" s="66"/>
      <c r="F60" s="28"/>
      <c r="G60" s="37" t="s">
        <v>90</v>
      </c>
      <c r="H60" s="38" t="s">
        <v>20</v>
      </c>
      <c r="I60" s="33" t="s">
        <v>92</v>
      </c>
      <c r="J60" s="33" t="s">
        <v>41</v>
      </c>
      <c r="K60" s="32" t="s">
        <v>263</v>
      </c>
      <c r="L60" s="28"/>
      <c r="M60" s="28"/>
      <c r="N60" s="28"/>
      <c r="O60" s="28"/>
      <c r="P60" s="28"/>
      <c r="Q60" s="28"/>
      <c r="R60" s="28"/>
      <c r="S60" s="28"/>
      <c r="T60" s="28">
        <v>5</v>
      </c>
      <c r="U60" s="28">
        <v>1</v>
      </c>
      <c r="V60" s="28">
        <f t="shared" ref="V60:V66" si="5">SUM(L60:T60)</f>
        <v>5</v>
      </c>
      <c r="W60" s="39">
        <v>2</v>
      </c>
      <c r="X60" s="31" t="s">
        <v>24</v>
      </c>
      <c r="Y60" s="39">
        <f>W60-0.9</f>
        <v>1.1000000000000001</v>
      </c>
    </row>
    <row r="61" spans="1:25" ht="15.95" customHeight="1" thickBot="1">
      <c r="A61" s="33" t="s">
        <v>21</v>
      </c>
      <c r="B61" s="33" t="s">
        <v>22</v>
      </c>
      <c r="C61" s="76"/>
      <c r="D61" s="76"/>
      <c r="E61" s="66"/>
      <c r="F61" s="28"/>
      <c r="G61" s="37" t="s">
        <v>93</v>
      </c>
      <c r="H61" s="38" t="s">
        <v>20</v>
      </c>
      <c r="I61" s="33" t="s">
        <v>94</v>
      </c>
      <c r="J61" s="33" t="s">
        <v>41</v>
      </c>
      <c r="K61" s="32" t="s">
        <v>264</v>
      </c>
      <c r="L61" s="28"/>
      <c r="M61" s="28"/>
      <c r="N61" s="28">
        <v>30</v>
      </c>
      <c r="O61" s="28"/>
      <c r="P61" s="28"/>
      <c r="Q61" s="28"/>
      <c r="R61" s="28"/>
      <c r="S61" s="28"/>
      <c r="T61" s="28"/>
      <c r="U61" s="28">
        <v>1</v>
      </c>
      <c r="V61" s="28">
        <f t="shared" si="5"/>
        <v>30</v>
      </c>
      <c r="W61" s="39">
        <v>5.7</v>
      </c>
      <c r="X61" s="31" t="s">
        <v>19</v>
      </c>
      <c r="Y61" s="39">
        <f t="shared" si="2"/>
        <v>4.5</v>
      </c>
    </row>
    <row r="62" spans="1:25" ht="15.95" customHeight="1" thickBot="1">
      <c r="A62" s="33" t="s">
        <v>21</v>
      </c>
      <c r="B62" s="33" t="s">
        <v>22</v>
      </c>
      <c r="C62" s="76"/>
      <c r="D62" s="76"/>
      <c r="E62" s="66"/>
      <c r="F62" s="28"/>
      <c r="G62" s="37" t="s">
        <v>95</v>
      </c>
      <c r="H62" s="38" t="s">
        <v>20</v>
      </c>
      <c r="I62" s="33" t="s">
        <v>96</v>
      </c>
      <c r="J62" s="33" t="s">
        <v>41</v>
      </c>
      <c r="K62" s="32" t="s">
        <v>264</v>
      </c>
      <c r="L62" s="28"/>
      <c r="M62" s="28"/>
      <c r="N62" s="28"/>
      <c r="O62" s="28">
        <v>30</v>
      </c>
      <c r="P62" s="28"/>
      <c r="Q62" s="28"/>
      <c r="R62" s="28"/>
      <c r="S62" s="28"/>
      <c r="T62" s="28"/>
      <c r="U62" s="28">
        <v>1</v>
      </c>
      <c r="V62" s="28">
        <f t="shared" si="5"/>
        <v>30</v>
      </c>
      <c r="W62" s="39">
        <v>6</v>
      </c>
      <c r="X62" s="31" t="s">
        <v>19</v>
      </c>
      <c r="Y62" s="39">
        <f t="shared" si="2"/>
        <v>4.8</v>
      </c>
    </row>
    <row r="63" spans="1:25" ht="15.95" customHeight="1" thickBot="1">
      <c r="A63" s="33" t="s">
        <v>21</v>
      </c>
      <c r="B63" s="33" t="s">
        <v>22</v>
      </c>
      <c r="C63" s="76"/>
      <c r="D63" s="76"/>
      <c r="E63" s="66"/>
      <c r="F63" s="28"/>
      <c r="G63" s="37" t="s">
        <v>95</v>
      </c>
      <c r="H63" s="38" t="s">
        <v>20</v>
      </c>
      <c r="I63" s="33" t="s">
        <v>97</v>
      </c>
      <c r="J63" s="33" t="s">
        <v>41</v>
      </c>
      <c r="K63" s="32" t="s">
        <v>264</v>
      </c>
      <c r="L63" s="28"/>
      <c r="M63" s="28"/>
      <c r="N63" s="28"/>
      <c r="O63" s="28">
        <v>30</v>
      </c>
      <c r="P63" s="28"/>
      <c r="Q63" s="28"/>
      <c r="R63" s="28"/>
      <c r="S63" s="28"/>
      <c r="T63" s="28"/>
      <c r="U63" s="28">
        <v>1</v>
      </c>
      <c r="V63" s="28">
        <f t="shared" si="5"/>
        <v>30</v>
      </c>
      <c r="W63" s="39">
        <v>6</v>
      </c>
      <c r="X63" s="31" t="s">
        <v>19</v>
      </c>
      <c r="Y63" s="39">
        <f t="shared" si="2"/>
        <v>4.8</v>
      </c>
    </row>
    <row r="64" spans="1:25" ht="15.95" customHeight="1" thickBot="1">
      <c r="A64" s="33" t="s">
        <v>21</v>
      </c>
      <c r="B64" s="33" t="s">
        <v>22</v>
      </c>
      <c r="C64" s="76"/>
      <c r="D64" s="76"/>
      <c r="E64" s="66"/>
      <c r="F64" s="28"/>
      <c r="G64" s="37" t="s">
        <v>95</v>
      </c>
      <c r="H64" s="38" t="s">
        <v>20</v>
      </c>
      <c r="I64" s="33" t="s">
        <v>98</v>
      </c>
      <c r="J64" s="33" t="s">
        <v>41</v>
      </c>
      <c r="K64" s="32" t="s">
        <v>264</v>
      </c>
      <c r="L64" s="28"/>
      <c r="M64" s="28"/>
      <c r="N64" s="28"/>
      <c r="O64" s="28">
        <v>30</v>
      </c>
      <c r="P64" s="28"/>
      <c r="Q64" s="28"/>
      <c r="R64" s="28"/>
      <c r="S64" s="28"/>
      <c r="T64" s="28"/>
      <c r="U64" s="28">
        <v>1</v>
      </c>
      <c r="V64" s="28">
        <f t="shared" si="5"/>
        <v>30</v>
      </c>
      <c r="W64" s="39">
        <v>6</v>
      </c>
      <c r="X64" s="31" t="s">
        <v>19</v>
      </c>
      <c r="Y64" s="39">
        <f t="shared" si="2"/>
        <v>4.8</v>
      </c>
    </row>
    <row r="65" spans="1:25" ht="15.95" customHeight="1" thickBot="1">
      <c r="A65" s="33" t="s">
        <v>21</v>
      </c>
      <c r="B65" s="33" t="s">
        <v>22</v>
      </c>
      <c r="C65" s="76"/>
      <c r="D65" s="76"/>
      <c r="E65" s="66"/>
      <c r="F65" s="28"/>
      <c r="G65" s="37" t="s">
        <v>95</v>
      </c>
      <c r="H65" s="38" t="s">
        <v>20</v>
      </c>
      <c r="I65" s="33" t="s">
        <v>99</v>
      </c>
      <c r="J65" s="33" t="s">
        <v>41</v>
      </c>
      <c r="K65" s="32" t="s">
        <v>264</v>
      </c>
      <c r="L65" s="28"/>
      <c r="M65" s="28"/>
      <c r="N65" s="28"/>
      <c r="O65" s="28">
        <v>5</v>
      </c>
      <c r="P65" s="28"/>
      <c r="Q65" s="28"/>
      <c r="R65" s="28"/>
      <c r="S65" s="28"/>
      <c r="T65" s="28"/>
      <c r="U65" s="28">
        <v>1</v>
      </c>
      <c r="V65" s="28">
        <f t="shared" si="5"/>
        <v>5</v>
      </c>
      <c r="W65" s="39">
        <v>1.7</v>
      </c>
      <c r="X65" s="31" t="s">
        <v>24</v>
      </c>
      <c r="Y65" s="39">
        <f>W65-0.9</f>
        <v>0.79999999999999993</v>
      </c>
    </row>
    <row r="66" spans="1:25" ht="15.95" customHeight="1" thickBot="1">
      <c r="A66" s="33" t="s">
        <v>21</v>
      </c>
      <c r="B66" s="33" t="s">
        <v>22</v>
      </c>
      <c r="C66" s="76"/>
      <c r="D66" s="76"/>
      <c r="E66" s="66"/>
      <c r="F66" s="28"/>
      <c r="G66" s="37" t="s">
        <v>100</v>
      </c>
      <c r="H66" s="38" t="s">
        <v>20</v>
      </c>
      <c r="I66" s="33" t="s">
        <v>101</v>
      </c>
      <c r="J66" s="33" t="s">
        <v>41</v>
      </c>
      <c r="K66" s="32" t="s">
        <v>264</v>
      </c>
      <c r="L66" s="28"/>
      <c r="M66" s="28"/>
      <c r="N66" s="28"/>
      <c r="O66" s="28"/>
      <c r="P66" s="28">
        <v>30</v>
      </c>
      <c r="Q66" s="28"/>
      <c r="R66" s="28"/>
      <c r="S66" s="28"/>
      <c r="T66" s="28"/>
      <c r="U66" s="28">
        <v>1</v>
      </c>
      <c r="V66" s="28">
        <f t="shared" si="5"/>
        <v>30</v>
      </c>
      <c r="W66" s="39">
        <v>6.3</v>
      </c>
      <c r="X66" s="31" t="s">
        <v>19</v>
      </c>
      <c r="Y66" s="39">
        <f t="shared" si="2"/>
        <v>5.0999999999999996</v>
      </c>
    </row>
    <row r="67" spans="1:25" ht="15.95" customHeight="1" thickBot="1">
      <c r="A67" s="33" t="s">
        <v>21</v>
      </c>
      <c r="B67" s="33" t="s">
        <v>22</v>
      </c>
      <c r="C67" s="76"/>
      <c r="D67" s="76"/>
      <c r="E67" s="66"/>
      <c r="F67" s="28"/>
      <c r="G67" s="37" t="s">
        <v>100</v>
      </c>
      <c r="H67" s="38" t="s">
        <v>20</v>
      </c>
      <c r="I67" s="33" t="s">
        <v>102</v>
      </c>
      <c r="J67" s="33" t="s">
        <v>41</v>
      </c>
      <c r="K67" s="32" t="s">
        <v>264</v>
      </c>
      <c r="L67" s="28"/>
      <c r="M67" s="28"/>
      <c r="N67" s="28"/>
      <c r="O67" s="28"/>
      <c r="P67" s="28">
        <v>30</v>
      </c>
      <c r="Q67" s="28"/>
      <c r="R67" s="28"/>
      <c r="S67" s="28"/>
      <c r="T67" s="28"/>
      <c r="U67" s="28">
        <v>1</v>
      </c>
      <c r="V67" s="28">
        <f t="shared" ref="V67:V72" si="6">SUM(L67:T67)</f>
        <v>30</v>
      </c>
      <c r="W67" s="39">
        <v>6.3</v>
      </c>
      <c r="X67" s="31" t="s">
        <v>19</v>
      </c>
      <c r="Y67" s="39">
        <f t="shared" si="2"/>
        <v>5.0999999999999996</v>
      </c>
    </row>
    <row r="68" spans="1:25" ht="15.95" customHeight="1" thickBot="1">
      <c r="A68" s="33" t="s">
        <v>21</v>
      </c>
      <c r="B68" s="33" t="s">
        <v>22</v>
      </c>
      <c r="C68" s="76"/>
      <c r="D68" s="76"/>
      <c r="E68" s="66"/>
      <c r="F68" s="28"/>
      <c r="G68" s="37" t="s">
        <v>100</v>
      </c>
      <c r="H68" s="38" t="s">
        <v>20</v>
      </c>
      <c r="I68" s="33" t="s">
        <v>103</v>
      </c>
      <c r="J68" s="33" t="s">
        <v>41</v>
      </c>
      <c r="K68" s="32" t="s">
        <v>264</v>
      </c>
      <c r="L68" s="28"/>
      <c r="M68" s="28"/>
      <c r="N68" s="28"/>
      <c r="O68" s="28"/>
      <c r="P68" s="28">
        <v>30</v>
      </c>
      <c r="Q68" s="28"/>
      <c r="R68" s="28"/>
      <c r="S68" s="28"/>
      <c r="T68" s="28"/>
      <c r="U68" s="28">
        <v>1</v>
      </c>
      <c r="V68" s="28">
        <f t="shared" si="6"/>
        <v>30</v>
      </c>
      <c r="W68" s="39">
        <v>6.3</v>
      </c>
      <c r="X68" s="31" t="s">
        <v>19</v>
      </c>
      <c r="Y68" s="39">
        <f t="shared" si="2"/>
        <v>5.0999999999999996</v>
      </c>
    </row>
    <row r="69" spans="1:25" ht="15.95" customHeight="1" thickBot="1">
      <c r="A69" s="33" t="s">
        <v>21</v>
      </c>
      <c r="B69" s="33" t="s">
        <v>22</v>
      </c>
      <c r="C69" s="76"/>
      <c r="D69" s="76"/>
      <c r="E69" s="66"/>
      <c r="F69" s="28"/>
      <c r="G69" s="37" t="s">
        <v>100</v>
      </c>
      <c r="H69" s="38" t="s">
        <v>20</v>
      </c>
      <c r="I69" s="33" t="s">
        <v>104</v>
      </c>
      <c r="J69" s="33" t="s">
        <v>41</v>
      </c>
      <c r="K69" s="32" t="s">
        <v>264</v>
      </c>
      <c r="L69" s="28"/>
      <c r="M69" s="28"/>
      <c r="N69" s="28"/>
      <c r="O69" s="28"/>
      <c r="P69" s="28">
        <v>30</v>
      </c>
      <c r="Q69" s="28"/>
      <c r="R69" s="28"/>
      <c r="S69" s="28"/>
      <c r="T69" s="28"/>
      <c r="U69" s="28">
        <v>1</v>
      </c>
      <c r="V69" s="28">
        <f t="shared" si="6"/>
        <v>30</v>
      </c>
      <c r="W69" s="39">
        <v>6.3</v>
      </c>
      <c r="X69" s="31" t="s">
        <v>19</v>
      </c>
      <c r="Y69" s="39">
        <f t="shared" si="2"/>
        <v>5.0999999999999996</v>
      </c>
    </row>
    <row r="70" spans="1:25" ht="15.95" customHeight="1" thickBot="1">
      <c r="A70" s="33" t="s">
        <v>21</v>
      </c>
      <c r="B70" s="33" t="s">
        <v>22</v>
      </c>
      <c r="C70" s="76"/>
      <c r="D70" s="76"/>
      <c r="E70" s="66"/>
      <c r="F70" s="28"/>
      <c r="G70" s="37" t="s">
        <v>100</v>
      </c>
      <c r="H70" s="38" t="s">
        <v>20</v>
      </c>
      <c r="I70" s="33" t="s">
        <v>105</v>
      </c>
      <c r="J70" s="33" t="s">
        <v>41</v>
      </c>
      <c r="K70" s="32" t="s">
        <v>264</v>
      </c>
      <c r="L70" s="28"/>
      <c r="M70" s="28"/>
      <c r="N70" s="28"/>
      <c r="O70" s="28"/>
      <c r="P70" s="28">
        <v>30</v>
      </c>
      <c r="Q70" s="28"/>
      <c r="R70" s="28"/>
      <c r="S70" s="28"/>
      <c r="T70" s="28"/>
      <c r="U70" s="28">
        <v>1</v>
      </c>
      <c r="V70" s="28">
        <f t="shared" si="6"/>
        <v>30</v>
      </c>
      <c r="W70" s="39">
        <v>6.3</v>
      </c>
      <c r="X70" s="31" t="s">
        <v>19</v>
      </c>
      <c r="Y70" s="39">
        <f t="shared" si="2"/>
        <v>5.0999999999999996</v>
      </c>
    </row>
    <row r="71" spans="1:25" ht="15.95" customHeight="1" thickBot="1">
      <c r="A71" s="33" t="s">
        <v>21</v>
      </c>
      <c r="B71" s="33" t="s">
        <v>22</v>
      </c>
      <c r="C71" s="76"/>
      <c r="D71" s="76"/>
      <c r="E71" s="66"/>
      <c r="F71" s="28"/>
      <c r="G71" s="37" t="s">
        <v>100</v>
      </c>
      <c r="H71" s="38" t="s">
        <v>20</v>
      </c>
      <c r="I71" s="33" t="s">
        <v>106</v>
      </c>
      <c r="J71" s="33" t="s">
        <v>41</v>
      </c>
      <c r="K71" s="32" t="s">
        <v>264</v>
      </c>
      <c r="L71" s="28"/>
      <c r="M71" s="28"/>
      <c r="N71" s="28"/>
      <c r="O71" s="28"/>
      <c r="P71" s="28">
        <v>30</v>
      </c>
      <c r="Q71" s="28"/>
      <c r="R71" s="28"/>
      <c r="S71" s="28"/>
      <c r="T71" s="28"/>
      <c r="U71" s="28">
        <v>1</v>
      </c>
      <c r="V71" s="28">
        <f t="shared" si="6"/>
        <v>30</v>
      </c>
      <c r="W71" s="39">
        <v>6.3</v>
      </c>
      <c r="X71" s="31" t="s">
        <v>19</v>
      </c>
      <c r="Y71" s="39">
        <f t="shared" si="2"/>
        <v>5.0999999999999996</v>
      </c>
    </row>
    <row r="72" spans="1:25" ht="15.95" customHeight="1" thickBot="1">
      <c r="A72" s="33" t="s">
        <v>21</v>
      </c>
      <c r="B72" s="33" t="s">
        <v>22</v>
      </c>
      <c r="C72" s="76"/>
      <c r="D72" s="76"/>
      <c r="E72" s="66"/>
      <c r="F72" s="28"/>
      <c r="G72" s="37" t="s">
        <v>100</v>
      </c>
      <c r="H72" s="38" t="s">
        <v>20</v>
      </c>
      <c r="I72" s="33" t="s">
        <v>107</v>
      </c>
      <c r="J72" s="33" t="s">
        <v>41</v>
      </c>
      <c r="K72" s="32" t="s">
        <v>264</v>
      </c>
      <c r="L72" s="28"/>
      <c r="M72" s="28"/>
      <c r="N72" s="28"/>
      <c r="O72" s="28"/>
      <c r="P72" s="28">
        <v>30</v>
      </c>
      <c r="Q72" s="28"/>
      <c r="R72" s="28"/>
      <c r="S72" s="28"/>
      <c r="T72" s="28"/>
      <c r="U72" s="28">
        <v>1</v>
      </c>
      <c r="V72" s="28">
        <f t="shared" si="6"/>
        <v>30</v>
      </c>
      <c r="W72" s="39">
        <v>6.3</v>
      </c>
      <c r="X72" s="31" t="s">
        <v>19</v>
      </c>
      <c r="Y72" s="39">
        <f t="shared" si="2"/>
        <v>5.0999999999999996</v>
      </c>
    </row>
    <row r="73" spans="1:25" ht="15.95" customHeight="1" thickBot="1">
      <c r="A73" s="33" t="s">
        <v>21</v>
      </c>
      <c r="B73" s="33" t="s">
        <v>22</v>
      </c>
      <c r="C73" s="76"/>
      <c r="D73" s="76"/>
      <c r="E73" s="66"/>
      <c r="F73" s="28"/>
      <c r="G73" s="37" t="s">
        <v>100</v>
      </c>
      <c r="H73" s="38" t="s">
        <v>20</v>
      </c>
      <c r="I73" s="33" t="s">
        <v>108</v>
      </c>
      <c r="J73" s="33" t="s">
        <v>41</v>
      </c>
      <c r="K73" s="32" t="s">
        <v>264</v>
      </c>
      <c r="L73" s="28"/>
      <c r="M73" s="28"/>
      <c r="N73" s="28"/>
      <c r="O73" s="28"/>
      <c r="P73" s="28">
        <v>25</v>
      </c>
      <c r="Q73" s="28"/>
      <c r="R73" s="28"/>
      <c r="S73" s="28"/>
      <c r="T73" s="28"/>
      <c r="U73" s="28">
        <v>1</v>
      </c>
      <c r="V73" s="28">
        <f t="shared" ref="V73:V78" si="7">SUM(L73:T73)</f>
        <v>25</v>
      </c>
      <c r="W73" s="39">
        <v>5.45</v>
      </c>
      <c r="X73" s="31" t="s">
        <v>19</v>
      </c>
      <c r="Y73" s="39">
        <f t="shared" si="2"/>
        <v>4.25</v>
      </c>
    </row>
    <row r="74" spans="1:25" ht="15.95" customHeight="1" thickBot="1">
      <c r="A74" s="33" t="s">
        <v>21</v>
      </c>
      <c r="B74" s="33" t="s">
        <v>22</v>
      </c>
      <c r="C74" s="76"/>
      <c r="D74" s="76"/>
      <c r="E74" s="66"/>
      <c r="F74" s="28"/>
      <c r="G74" s="37" t="s">
        <v>109</v>
      </c>
      <c r="H74" s="38" t="s">
        <v>20</v>
      </c>
      <c r="I74" s="33" t="s">
        <v>110</v>
      </c>
      <c r="J74" s="33" t="s">
        <v>41</v>
      </c>
      <c r="K74" s="32" t="s">
        <v>264</v>
      </c>
      <c r="L74" s="28"/>
      <c r="M74" s="28"/>
      <c r="N74" s="28"/>
      <c r="O74" s="28"/>
      <c r="P74" s="28"/>
      <c r="Q74" s="28">
        <v>20</v>
      </c>
      <c r="R74" s="28"/>
      <c r="S74" s="28"/>
      <c r="T74" s="28"/>
      <c r="U74" s="28">
        <v>1</v>
      </c>
      <c r="V74" s="28">
        <f t="shared" si="7"/>
        <v>20</v>
      </c>
      <c r="W74" s="39">
        <v>4.8</v>
      </c>
      <c r="X74" s="31" t="s">
        <v>19</v>
      </c>
      <c r="Y74" s="39">
        <f t="shared" si="2"/>
        <v>3.5999999999999996</v>
      </c>
    </row>
    <row r="75" spans="1:25" ht="15.95" customHeight="1" thickBot="1">
      <c r="A75" s="33" t="s">
        <v>21</v>
      </c>
      <c r="B75" s="33" t="s">
        <v>22</v>
      </c>
      <c r="C75" s="76"/>
      <c r="D75" s="76"/>
      <c r="E75" s="66"/>
      <c r="F75" s="28"/>
      <c r="G75" s="37" t="s">
        <v>109</v>
      </c>
      <c r="H75" s="38" t="s">
        <v>20</v>
      </c>
      <c r="I75" s="33" t="s">
        <v>111</v>
      </c>
      <c r="J75" s="33" t="s">
        <v>41</v>
      </c>
      <c r="K75" s="32" t="s">
        <v>264</v>
      </c>
      <c r="L75" s="28"/>
      <c r="M75" s="28"/>
      <c r="N75" s="28"/>
      <c r="O75" s="28"/>
      <c r="P75" s="28"/>
      <c r="Q75" s="28">
        <v>20</v>
      </c>
      <c r="R75" s="28"/>
      <c r="S75" s="28"/>
      <c r="T75" s="28"/>
      <c r="U75" s="28">
        <v>1</v>
      </c>
      <c r="V75" s="28">
        <f t="shared" si="7"/>
        <v>20</v>
      </c>
      <c r="W75" s="39">
        <v>4.8</v>
      </c>
      <c r="X75" s="31" t="s">
        <v>19</v>
      </c>
      <c r="Y75" s="39">
        <f t="shared" si="2"/>
        <v>3.5999999999999996</v>
      </c>
    </row>
    <row r="76" spans="1:25" ht="15.95" customHeight="1" thickBot="1">
      <c r="A76" s="33" t="s">
        <v>21</v>
      </c>
      <c r="B76" s="33" t="s">
        <v>22</v>
      </c>
      <c r="C76" s="76"/>
      <c r="D76" s="76"/>
      <c r="E76" s="66"/>
      <c r="F76" s="28"/>
      <c r="G76" s="37" t="s">
        <v>109</v>
      </c>
      <c r="H76" s="38" t="s">
        <v>20</v>
      </c>
      <c r="I76" s="33" t="s">
        <v>112</v>
      </c>
      <c r="J76" s="33" t="s">
        <v>41</v>
      </c>
      <c r="K76" s="32" t="s">
        <v>264</v>
      </c>
      <c r="L76" s="28"/>
      <c r="M76" s="28"/>
      <c r="N76" s="28"/>
      <c r="O76" s="28"/>
      <c r="P76" s="28"/>
      <c r="Q76" s="28">
        <v>20</v>
      </c>
      <c r="R76" s="28"/>
      <c r="S76" s="28"/>
      <c r="T76" s="28"/>
      <c r="U76" s="28">
        <v>1</v>
      </c>
      <c r="V76" s="28">
        <f t="shared" si="7"/>
        <v>20</v>
      </c>
      <c r="W76" s="39">
        <v>4.8</v>
      </c>
      <c r="X76" s="31" t="s">
        <v>19</v>
      </c>
      <c r="Y76" s="39">
        <f t="shared" si="2"/>
        <v>3.5999999999999996</v>
      </c>
    </row>
    <row r="77" spans="1:25" ht="15.95" customHeight="1" thickBot="1">
      <c r="A77" s="33" t="s">
        <v>21</v>
      </c>
      <c r="B77" s="33" t="s">
        <v>22</v>
      </c>
      <c r="C77" s="76"/>
      <c r="D77" s="76"/>
      <c r="E77" s="66"/>
      <c r="F77" s="28"/>
      <c r="G77" s="37" t="s">
        <v>109</v>
      </c>
      <c r="H77" s="38" t="s">
        <v>20</v>
      </c>
      <c r="I77" s="33" t="s">
        <v>113</v>
      </c>
      <c r="J77" s="33" t="s">
        <v>41</v>
      </c>
      <c r="K77" s="32" t="s">
        <v>264</v>
      </c>
      <c r="L77" s="28"/>
      <c r="M77" s="28"/>
      <c r="N77" s="28"/>
      <c r="O77" s="28"/>
      <c r="P77" s="28"/>
      <c r="Q77" s="28">
        <v>20</v>
      </c>
      <c r="R77" s="28"/>
      <c r="S77" s="28"/>
      <c r="T77" s="28"/>
      <c r="U77" s="28">
        <v>1</v>
      </c>
      <c r="V77" s="28">
        <f t="shared" si="7"/>
        <v>20</v>
      </c>
      <c r="W77" s="39">
        <v>4.8</v>
      </c>
      <c r="X77" s="31" t="s">
        <v>19</v>
      </c>
      <c r="Y77" s="39">
        <f t="shared" si="2"/>
        <v>3.5999999999999996</v>
      </c>
    </row>
    <row r="78" spans="1:25" ht="15.95" customHeight="1" thickBot="1">
      <c r="A78" s="33" t="s">
        <v>21</v>
      </c>
      <c r="B78" s="33" t="s">
        <v>22</v>
      </c>
      <c r="C78" s="76"/>
      <c r="D78" s="76"/>
      <c r="E78" s="66"/>
      <c r="F78" s="28"/>
      <c r="G78" s="37" t="s">
        <v>114</v>
      </c>
      <c r="H78" s="38" t="s">
        <v>20</v>
      </c>
      <c r="I78" s="33" t="s">
        <v>115</v>
      </c>
      <c r="J78" s="33" t="s">
        <v>41</v>
      </c>
      <c r="K78" s="32" t="s">
        <v>264</v>
      </c>
      <c r="L78" s="28"/>
      <c r="M78" s="28"/>
      <c r="N78" s="28"/>
      <c r="O78" s="28"/>
      <c r="P78" s="28"/>
      <c r="Q78" s="28"/>
      <c r="R78" s="28">
        <v>15</v>
      </c>
      <c r="S78" s="28"/>
      <c r="T78" s="28"/>
      <c r="U78" s="28">
        <v>1</v>
      </c>
      <c r="V78" s="28">
        <f t="shared" si="7"/>
        <v>15</v>
      </c>
      <c r="W78" s="39">
        <v>4.3499999999999996</v>
      </c>
      <c r="X78" s="31" t="s">
        <v>19</v>
      </c>
      <c r="Y78" s="39">
        <f t="shared" si="2"/>
        <v>3.1499999999999995</v>
      </c>
    </row>
    <row r="79" spans="1:25" ht="15.95" customHeight="1" thickBot="1">
      <c r="A79" s="33" t="s">
        <v>21</v>
      </c>
      <c r="B79" s="33" t="s">
        <v>22</v>
      </c>
      <c r="C79" s="76"/>
      <c r="D79" s="76"/>
      <c r="E79" s="66"/>
      <c r="F79" s="28"/>
      <c r="G79" s="37" t="s">
        <v>114</v>
      </c>
      <c r="H79" s="38" t="s">
        <v>20</v>
      </c>
      <c r="I79" s="33" t="s">
        <v>116</v>
      </c>
      <c r="J79" s="33" t="s">
        <v>41</v>
      </c>
      <c r="K79" s="32" t="s">
        <v>264</v>
      </c>
      <c r="L79" s="28"/>
      <c r="M79" s="28"/>
      <c r="N79" s="28"/>
      <c r="O79" s="28"/>
      <c r="P79" s="28"/>
      <c r="Q79" s="28"/>
      <c r="R79" s="28">
        <v>15</v>
      </c>
      <c r="S79" s="28"/>
      <c r="T79" s="28"/>
      <c r="U79" s="28">
        <v>1</v>
      </c>
      <c r="V79" s="28">
        <f t="shared" ref="V79:V89" si="8">SUM(L79:T79)</f>
        <v>15</v>
      </c>
      <c r="W79" s="39">
        <v>4.3499999999999996</v>
      </c>
      <c r="X79" s="31" t="s">
        <v>19</v>
      </c>
      <c r="Y79" s="39">
        <f t="shared" si="2"/>
        <v>3.1499999999999995</v>
      </c>
    </row>
    <row r="80" spans="1:25" ht="15.95" customHeight="1" thickBot="1">
      <c r="A80" s="33" t="s">
        <v>21</v>
      </c>
      <c r="B80" s="33" t="s">
        <v>22</v>
      </c>
      <c r="C80" s="76"/>
      <c r="D80" s="76"/>
      <c r="E80" s="66"/>
      <c r="F80" s="28"/>
      <c r="G80" s="37" t="s">
        <v>114</v>
      </c>
      <c r="H80" s="38" t="s">
        <v>20</v>
      </c>
      <c r="I80" s="33" t="s">
        <v>117</v>
      </c>
      <c r="J80" s="33" t="s">
        <v>41</v>
      </c>
      <c r="K80" s="32" t="s">
        <v>264</v>
      </c>
      <c r="L80" s="28"/>
      <c r="M80" s="28"/>
      <c r="N80" s="28"/>
      <c r="O80" s="28"/>
      <c r="P80" s="28"/>
      <c r="Q80" s="28"/>
      <c r="R80" s="28">
        <v>10</v>
      </c>
      <c r="S80" s="28"/>
      <c r="T80" s="28"/>
      <c r="U80" s="28">
        <v>1</v>
      </c>
      <c r="V80" s="28">
        <f t="shared" si="8"/>
        <v>10</v>
      </c>
      <c r="W80" s="39">
        <v>3.2</v>
      </c>
      <c r="X80" s="31" t="s">
        <v>23</v>
      </c>
      <c r="Y80" s="39">
        <f>W80-1.1</f>
        <v>2.1</v>
      </c>
    </row>
    <row r="81" spans="1:25" ht="15.95" customHeight="1" thickBot="1">
      <c r="A81" s="33" t="s">
        <v>21</v>
      </c>
      <c r="B81" s="33" t="s">
        <v>22</v>
      </c>
      <c r="C81" s="76"/>
      <c r="D81" s="76"/>
      <c r="E81" s="66"/>
      <c r="F81" s="28"/>
      <c r="G81" s="37" t="s">
        <v>118</v>
      </c>
      <c r="H81" s="38" t="s">
        <v>20</v>
      </c>
      <c r="I81" s="33" t="s">
        <v>119</v>
      </c>
      <c r="J81" s="33" t="s">
        <v>41</v>
      </c>
      <c r="K81" s="32" t="s">
        <v>264</v>
      </c>
      <c r="L81" s="28"/>
      <c r="M81" s="28"/>
      <c r="N81" s="28"/>
      <c r="O81" s="28"/>
      <c r="P81" s="28"/>
      <c r="Q81" s="28"/>
      <c r="R81" s="28"/>
      <c r="S81" s="28">
        <v>15</v>
      </c>
      <c r="T81" s="28"/>
      <c r="U81" s="28">
        <v>1</v>
      </c>
      <c r="V81" s="28">
        <f t="shared" si="8"/>
        <v>15</v>
      </c>
      <c r="W81" s="39">
        <v>4.6500000000000004</v>
      </c>
      <c r="X81" s="31" t="s">
        <v>19</v>
      </c>
      <c r="Y81" s="39">
        <f t="shared" si="2"/>
        <v>3.45</v>
      </c>
    </row>
    <row r="82" spans="1:25" ht="15.95" customHeight="1" thickBot="1">
      <c r="A82" s="33" t="s">
        <v>21</v>
      </c>
      <c r="B82" s="33" t="s">
        <v>22</v>
      </c>
      <c r="C82" s="76"/>
      <c r="D82" s="76"/>
      <c r="E82" s="66"/>
      <c r="F82" s="28"/>
      <c r="G82" s="37" t="s">
        <v>118</v>
      </c>
      <c r="H82" s="38" t="s">
        <v>20</v>
      </c>
      <c r="I82" s="33" t="s">
        <v>120</v>
      </c>
      <c r="J82" s="33" t="s">
        <v>41</v>
      </c>
      <c r="K82" s="32" t="s">
        <v>264</v>
      </c>
      <c r="L82" s="28"/>
      <c r="M82" s="28"/>
      <c r="N82" s="28"/>
      <c r="O82" s="28"/>
      <c r="P82" s="28"/>
      <c r="Q82" s="28"/>
      <c r="R82" s="28"/>
      <c r="S82" s="28">
        <v>15</v>
      </c>
      <c r="T82" s="28"/>
      <c r="U82" s="28">
        <v>1</v>
      </c>
      <c r="V82" s="28">
        <f t="shared" si="8"/>
        <v>15</v>
      </c>
      <c r="W82" s="39">
        <v>4.6500000000000004</v>
      </c>
      <c r="X82" s="31" t="s">
        <v>19</v>
      </c>
      <c r="Y82" s="39">
        <f t="shared" si="2"/>
        <v>3.45</v>
      </c>
    </row>
    <row r="83" spans="1:25" ht="15.95" customHeight="1" thickBot="1">
      <c r="A83" s="33" t="s">
        <v>21</v>
      </c>
      <c r="B83" s="33" t="s">
        <v>22</v>
      </c>
      <c r="C83" s="76"/>
      <c r="D83" s="76"/>
      <c r="E83" s="66"/>
      <c r="F83" s="28"/>
      <c r="G83" s="37" t="s">
        <v>121</v>
      </c>
      <c r="H83" s="38" t="s">
        <v>20</v>
      </c>
      <c r="I83" s="33" t="s">
        <v>122</v>
      </c>
      <c r="J83" s="33" t="s">
        <v>41</v>
      </c>
      <c r="K83" s="32" t="s">
        <v>264</v>
      </c>
      <c r="L83" s="28"/>
      <c r="M83" s="28"/>
      <c r="N83" s="28"/>
      <c r="O83" s="28"/>
      <c r="P83" s="28"/>
      <c r="Q83" s="28"/>
      <c r="R83" s="28"/>
      <c r="S83" s="28"/>
      <c r="T83" s="28">
        <v>15</v>
      </c>
      <c r="U83" s="28">
        <v>1</v>
      </c>
      <c r="V83" s="28">
        <f t="shared" si="8"/>
        <v>15</v>
      </c>
      <c r="W83" s="39">
        <v>4.8</v>
      </c>
      <c r="X83" s="31" t="s">
        <v>19</v>
      </c>
      <c r="Y83" s="39">
        <f t="shared" si="2"/>
        <v>3.5999999999999996</v>
      </c>
    </row>
    <row r="84" spans="1:25" ht="15.95" customHeight="1" thickBot="1">
      <c r="A84" s="33" t="s">
        <v>21</v>
      </c>
      <c r="B84" s="33" t="s">
        <v>22</v>
      </c>
      <c r="C84" s="76"/>
      <c r="D84" s="76"/>
      <c r="E84" s="66"/>
      <c r="F84" s="28"/>
      <c r="G84" s="37" t="s">
        <v>121</v>
      </c>
      <c r="H84" s="38" t="s">
        <v>20</v>
      </c>
      <c r="I84" s="33" t="s">
        <v>123</v>
      </c>
      <c r="J84" s="33" t="s">
        <v>41</v>
      </c>
      <c r="K84" s="32" t="s">
        <v>264</v>
      </c>
      <c r="L84" s="28"/>
      <c r="M84" s="28"/>
      <c r="N84" s="28"/>
      <c r="O84" s="28"/>
      <c r="P84" s="28"/>
      <c r="Q84" s="28"/>
      <c r="R84" s="28"/>
      <c r="S84" s="28"/>
      <c r="T84" s="28">
        <v>5</v>
      </c>
      <c r="U84" s="28">
        <v>1</v>
      </c>
      <c r="V84" s="28">
        <f t="shared" si="8"/>
        <v>5</v>
      </c>
      <c r="W84" s="39">
        <v>2.1</v>
      </c>
      <c r="X84" s="31" t="s">
        <v>24</v>
      </c>
      <c r="Y84" s="39">
        <f>W84-0.9</f>
        <v>1.2000000000000002</v>
      </c>
    </row>
    <row r="85" spans="1:25" ht="15.95" customHeight="1" thickBot="1">
      <c r="A85" s="33" t="s">
        <v>21</v>
      </c>
      <c r="B85" s="33" t="s">
        <v>22</v>
      </c>
      <c r="C85" s="76"/>
      <c r="D85" s="76"/>
      <c r="E85" s="66"/>
      <c r="F85" s="28"/>
      <c r="G85" s="37" t="s">
        <v>124</v>
      </c>
      <c r="H85" s="38" t="s">
        <v>20</v>
      </c>
      <c r="I85" s="33" t="s">
        <v>125</v>
      </c>
      <c r="J85" s="33" t="s">
        <v>41</v>
      </c>
      <c r="K85" s="32" t="s">
        <v>265</v>
      </c>
      <c r="L85" s="28"/>
      <c r="M85" s="28"/>
      <c r="N85" s="28">
        <v>30</v>
      </c>
      <c r="O85" s="28"/>
      <c r="P85" s="28"/>
      <c r="Q85" s="28"/>
      <c r="R85" s="28"/>
      <c r="S85" s="28"/>
      <c r="T85" s="28"/>
      <c r="U85" s="28">
        <v>1</v>
      </c>
      <c r="V85" s="28">
        <f t="shared" si="8"/>
        <v>30</v>
      </c>
      <c r="W85" s="39">
        <v>6</v>
      </c>
      <c r="X85" s="31" t="s">
        <v>19</v>
      </c>
      <c r="Y85" s="39">
        <f t="shared" si="2"/>
        <v>4.8</v>
      </c>
    </row>
    <row r="86" spans="1:25" ht="15.95" customHeight="1" thickBot="1">
      <c r="A86" s="33" t="s">
        <v>21</v>
      </c>
      <c r="B86" s="33" t="s">
        <v>22</v>
      </c>
      <c r="C86" s="76"/>
      <c r="D86" s="76"/>
      <c r="E86" s="66"/>
      <c r="F86" s="28"/>
      <c r="G86" s="37" t="s">
        <v>126</v>
      </c>
      <c r="H86" s="38" t="s">
        <v>20</v>
      </c>
      <c r="I86" s="33" t="s">
        <v>127</v>
      </c>
      <c r="J86" s="33" t="s">
        <v>41</v>
      </c>
      <c r="K86" s="32" t="s">
        <v>265</v>
      </c>
      <c r="L86" s="28"/>
      <c r="M86" s="28"/>
      <c r="N86" s="28"/>
      <c r="O86" s="28">
        <v>30</v>
      </c>
      <c r="P86" s="28"/>
      <c r="Q86" s="28"/>
      <c r="R86" s="28"/>
      <c r="S86" s="28"/>
      <c r="T86" s="28"/>
      <c r="U86" s="28">
        <v>1</v>
      </c>
      <c r="V86" s="28">
        <f t="shared" si="8"/>
        <v>30</v>
      </c>
      <c r="W86" s="39">
        <v>6.3</v>
      </c>
      <c r="X86" s="31" t="s">
        <v>19</v>
      </c>
      <c r="Y86" s="39">
        <f t="shared" si="2"/>
        <v>5.0999999999999996</v>
      </c>
    </row>
    <row r="87" spans="1:25" ht="15.95" customHeight="1" thickBot="1">
      <c r="A87" s="33" t="s">
        <v>21</v>
      </c>
      <c r="B87" s="33" t="s">
        <v>22</v>
      </c>
      <c r="C87" s="76"/>
      <c r="D87" s="76"/>
      <c r="E87" s="66"/>
      <c r="F87" s="28"/>
      <c r="G87" s="37" t="s">
        <v>126</v>
      </c>
      <c r="H87" s="38" t="s">
        <v>20</v>
      </c>
      <c r="I87" s="33" t="s">
        <v>128</v>
      </c>
      <c r="J87" s="33" t="s">
        <v>41</v>
      </c>
      <c r="K87" s="32" t="s">
        <v>265</v>
      </c>
      <c r="L87" s="28"/>
      <c r="M87" s="28"/>
      <c r="N87" s="28"/>
      <c r="O87" s="28">
        <v>30</v>
      </c>
      <c r="P87" s="28"/>
      <c r="Q87" s="28"/>
      <c r="R87" s="28"/>
      <c r="S87" s="28"/>
      <c r="T87" s="28"/>
      <c r="U87" s="28">
        <v>1</v>
      </c>
      <c r="V87" s="28">
        <f t="shared" si="8"/>
        <v>30</v>
      </c>
      <c r="W87" s="39">
        <v>6.3</v>
      </c>
      <c r="X87" s="31" t="s">
        <v>19</v>
      </c>
      <c r="Y87" s="39">
        <f t="shared" si="2"/>
        <v>5.0999999999999996</v>
      </c>
    </row>
    <row r="88" spans="1:25" ht="15.95" customHeight="1" thickBot="1">
      <c r="A88" s="33" t="s">
        <v>21</v>
      </c>
      <c r="B88" s="33" t="s">
        <v>22</v>
      </c>
      <c r="C88" s="76"/>
      <c r="D88" s="76"/>
      <c r="E88" s="66"/>
      <c r="F88" s="28"/>
      <c r="G88" s="37" t="s">
        <v>126</v>
      </c>
      <c r="H88" s="38" t="s">
        <v>20</v>
      </c>
      <c r="I88" s="33" t="s">
        <v>129</v>
      </c>
      <c r="J88" s="33" t="s">
        <v>41</v>
      </c>
      <c r="K88" s="32" t="s">
        <v>265</v>
      </c>
      <c r="L88" s="28"/>
      <c r="M88" s="28"/>
      <c r="N88" s="28"/>
      <c r="O88" s="28">
        <v>25</v>
      </c>
      <c r="P88" s="28"/>
      <c r="Q88" s="28"/>
      <c r="R88" s="28"/>
      <c r="S88" s="28"/>
      <c r="T88" s="28"/>
      <c r="U88" s="28">
        <v>1</v>
      </c>
      <c r="V88" s="28">
        <f t="shared" si="8"/>
        <v>25</v>
      </c>
      <c r="W88" s="39">
        <v>5.45</v>
      </c>
      <c r="X88" s="31" t="s">
        <v>19</v>
      </c>
      <c r="Y88" s="39">
        <f t="shared" si="2"/>
        <v>4.25</v>
      </c>
    </row>
    <row r="89" spans="1:25" ht="15.95" customHeight="1" thickBot="1">
      <c r="A89" s="33" t="s">
        <v>21</v>
      </c>
      <c r="B89" s="33" t="s">
        <v>22</v>
      </c>
      <c r="C89" s="76"/>
      <c r="D89" s="76"/>
      <c r="E89" s="66"/>
      <c r="F89" s="28"/>
      <c r="G89" s="37" t="s">
        <v>130</v>
      </c>
      <c r="H89" s="38" t="s">
        <v>20</v>
      </c>
      <c r="I89" s="33" t="s">
        <v>131</v>
      </c>
      <c r="J89" s="33" t="s">
        <v>41</v>
      </c>
      <c r="K89" s="32" t="s">
        <v>265</v>
      </c>
      <c r="L89" s="28"/>
      <c r="M89" s="28"/>
      <c r="N89" s="28"/>
      <c r="O89" s="28"/>
      <c r="P89" s="28">
        <v>20</v>
      </c>
      <c r="Q89" s="28"/>
      <c r="R89" s="28"/>
      <c r="S89" s="28"/>
      <c r="T89" s="28"/>
      <c r="U89" s="28">
        <v>1</v>
      </c>
      <c r="V89" s="28">
        <f t="shared" si="8"/>
        <v>20</v>
      </c>
      <c r="W89" s="39">
        <v>5</v>
      </c>
      <c r="X89" s="31" t="s">
        <v>19</v>
      </c>
      <c r="Y89" s="39">
        <f t="shared" ref="Y89:Y151" si="9">W89-1.2</f>
        <v>3.8</v>
      </c>
    </row>
    <row r="90" spans="1:25" ht="15.95" customHeight="1" thickBot="1">
      <c r="A90" s="33" t="s">
        <v>21</v>
      </c>
      <c r="B90" s="33" t="s">
        <v>22</v>
      </c>
      <c r="C90" s="76"/>
      <c r="D90" s="76"/>
      <c r="E90" s="66"/>
      <c r="F90" s="28"/>
      <c r="G90" s="37" t="s">
        <v>130</v>
      </c>
      <c r="H90" s="38" t="s">
        <v>20</v>
      </c>
      <c r="I90" s="33" t="s">
        <v>132</v>
      </c>
      <c r="J90" s="33" t="s">
        <v>41</v>
      </c>
      <c r="K90" s="32" t="s">
        <v>265</v>
      </c>
      <c r="L90" s="28"/>
      <c r="M90" s="28"/>
      <c r="N90" s="28"/>
      <c r="O90" s="28"/>
      <c r="P90" s="28">
        <v>20</v>
      </c>
      <c r="Q90" s="28"/>
      <c r="R90" s="28"/>
      <c r="S90" s="28"/>
      <c r="T90" s="28"/>
      <c r="U90" s="28">
        <v>1</v>
      </c>
      <c r="V90" s="28">
        <f t="shared" ref="V90:V109" si="10">SUM(L90:T90)</f>
        <v>20</v>
      </c>
      <c r="W90" s="39">
        <v>5</v>
      </c>
      <c r="X90" s="31" t="s">
        <v>19</v>
      </c>
      <c r="Y90" s="39">
        <f t="shared" si="9"/>
        <v>3.8</v>
      </c>
    </row>
    <row r="91" spans="1:25" ht="15.95" customHeight="1" thickBot="1">
      <c r="A91" s="33" t="s">
        <v>21</v>
      </c>
      <c r="B91" s="33" t="s">
        <v>22</v>
      </c>
      <c r="C91" s="76"/>
      <c r="D91" s="76"/>
      <c r="E91" s="66"/>
      <c r="F91" s="28"/>
      <c r="G91" s="37" t="s">
        <v>130</v>
      </c>
      <c r="H91" s="38" t="s">
        <v>20</v>
      </c>
      <c r="I91" s="33" t="s">
        <v>133</v>
      </c>
      <c r="J91" s="33" t="s">
        <v>41</v>
      </c>
      <c r="K91" s="32" t="s">
        <v>265</v>
      </c>
      <c r="L91" s="28"/>
      <c r="M91" s="28"/>
      <c r="N91" s="28"/>
      <c r="O91" s="28"/>
      <c r="P91" s="28">
        <v>20</v>
      </c>
      <c r="Q91" s="28"/>
      <c r="R91" s="28"/>
      <c r="S91" s="28"/>
      <c r="T91" s="28"/>
      <c r="U91" s="28">
        <v>1</v>
      </c>
      <c r="V91" s="28">
        <f t="shared" si="10"/>
        <v>20</v>
      </c>
      <c r="W91" s="39">
        <v>5</v>
      </c>
      <c r="X91" s="31" t="s">
        <v>19</v>
      </c>
      <c r="Y91" s="39">
        <f t="shared" si="9"/>
        <v>3.8</v>
      </c>
    </row>
    <row r="92" spans="1:25" ht="15.95" customHeight="1" thickBot="1">
      <c r="A92" s="33" t="s">
        <v>21</v>
      </c>
      <c r="B92" s="33" t="s">
        <v>22</v>
      </c>
      <c r="C92" s="76"/>
      <c r="D92" s="76"/>
      <c r="E92" s="66"/>
      <c r="F92" s="28"/>
      <c r="G92" s="37" t="s">
        <v>130</v>
      </c>
      <c r="H92" s="38" t="s">
        <v>20</v>
      </c>
      <c r="I92" s="33" t="s">
        <v>134</v>
      </c>
      <c r="J92" s="33" t="s">
        <v>41</v>
      </c>
      <c r="K92" s="32" t="s">
        <v>265</v>
      </c>
      <c r="L92" s="28"/>
      <c r="M92" s="28"/>
      <c r="N92" s="28"/>
      <c r="O92" s="28"/>
      <c r="P92" s="28">
        <v>20</v>
      </c>
      <c r="Q92" s="28"/>
      <c r="R92" s="28"/>
      <c r="S92" s="28"/>
      <c r="T92" s="28"/>
      <c r="U92" s="28">
        <v>1</v>
      </c>
      <c r="V92" s="28">
        <f t="shared" si="10"/>
        <v>20</v>
      </c>
      <c r="W92" s="39">
        <v>5</v>
      </c>
      <c r="X92" s="31" t="s">
        <v>19</v>
      </c>
      <c r="Y92" s="39">
        <f t="shared" si="9"/>
        <v>3.8</v>
      </c>
    </row>
    <row r="93" spans="1:25" ht="15.95" customHeight="1" thickBot="1">
      <c r="A93" s="33" t="s">
        <v>21</v>
      </c>
      <c r="B93" s="33" t="s">
        <v>22</v>
      </c>
      <c r="C93" s="76"/>
      <c r="D93" s="76"/>
      <c r="E93" s="66"/>
      <c r="F93" s="28"/>
      <c r="G93" s="37" t="s">
        <v>130</v>
      </c>
      <c r="H93" s="38" t="s">
        <v>20</v>
      </c>
      <c r="I93" s="33" t="s">
        <v>135</v>
      </c>
      <c r="J93" s="33" t="s">
        <v>41</v>
      </c>
      <c r="K93" s="32" t="s">
        <v>265</v>
      </c>
      <c r="L93" s="28"/>
      <c r="M93" s="28"/>
      <c r="N93" s="28"/>
      <c r="O93" s="28"/>
      <c r="P93" s="28">
        <v>20</v>
      </c>
      <c r="Q93" s="28"/>
      <c r="R93" s="28"/>
      <c r="S93" s="28"/>
      <c r="T93" s="28"/>
      <c r="U93" s="28">
        <v>1</v>
      </c>
      <c r="V93" s="28">
        <f t="shared" si="10"/>
        <v>20</v>
      </c>
      <c r="W93" s="39">
        <v>5</v>
      </c>
      <c r="X93" s="31" t="s">
        <v>19</v>
      </c>
      <c r="Y93" s="39">
        <f t="shared" si="9"/>
        <v>3.8</v>
      </c>
    </row>
    <row r="94" spans="1:25" ht="15.95" customHeight="1" thickBot="1">
      <c r="A94" s="33" t="s">
        <v>21</v>
      </c>
      <c r="B94" s="33" t="s">
        <v>22</v>
      </c>
      <c r="C94" s="76"/>
      <c r="D94" s="76"/>
      <c r="E94" s="66"/>
      <c r="F94" s="28"/>
      <c r="G94" s="37" t="s">
        <v>130</v>
      </c>
      <c r="H94" s="38" t="s">
        <v>20</v>
      </c>
      <c r="I94" s="33" t="s">
        <v>136</v>
      </c>
      <c r="J94" s="33" t="s">
        <v>41</v>
      </c>
      <c r="K94" s="32" t="s">
        <v>265</v>
      </c>
      <c r="L94" s="28"/>
      <c r="M94" s="28"/>
      <c r="N94" s="28"/>
      <c r="O94" s="28"/>
      <c r="P94" s="28">
        <v>20</v>
      </c>
      <c r="Q94" s="28"/>
      <c r="R94" s="28"/>
      <c r="S94" s="28"/>
      <c r="T94" s="28"/>
      <c r="U94" s="28">
        <v>1</v>
      </c>
      <c r="V94" s="28">
        <f t="shared" si="10"/>
        <v>20</v>
      </c>
      <c r="W94" s="39">
        <v>5</v>
      </c>
      <c r="X94" s="31" t="s">
        <v>19</v>
      </c>
      <c r="Y94" s="39">
        <f t="shared" si="9"/>
        <v>3.8</v>
      </c>
    </row>
    <row r="95" spans="1:25" ht="15.95" customHeight="1" thickBot="1">
      <c r="A95" s="33" t="s">
        <v>21</v>
      </c>
      <c r="B95" s="33" t="s">
        <v>22</v>
      </c>
      <c r="C95" s="76"/>
      <c r="D95" s="76"/>
      <c r="E95" s="66"/>
      <c r="F95" s="28"/>
      <c r="G95" s="37" t="s">
        <v>130</v>
      </c>
      <c r="H95" s="38" t="s">
        <v>20</v>
      </c>
      <c r="I95" s="33" t="s">
        <v>137</v>
      </c>
      <c r="J95" s="33" t="s">
        <v>41</v>
      </c>
      <c r="K95" s="32" t="s">
        <v>265</v>
      </c>
      <c r="L95" s="28"/>
      <c r="M95" s="28"/>
      <c r="N95" s="28"/>
      <c r="O95" s="28"/>
      <c r="P95" s="28">
        <v>20</v>
      </c>
      <c r="Q95" s="28"/>
      <c r="R95" s="28"/>
      <c r="S95" s="28"/>
      <c r="T95" s="28"/>
      <c r="U95" s="28">
        <v>1</v>
      </c>
      <c r="V95" s="28">
        <f t="shared" si="10"/>
        <v>20</v>
      </c>
      <c r="W95" s="39">
        <v>5</v>
      </c>
      <c r="X95" s="31" t="s">
        <v>19</v>
      </c>
      <c r="Y95" s="39">
        <f t="shared" si="9"/>
        <v>3.8</v>
      </c>
    </row>
    <row r="96" spans="1:25" ht="15.95" customHeight="1" thickBot="1">
      <c r="A96" s="33" t="s">
        <v>21</v>
      </c>
      <c r="B96" s="33" t="s">
        <v>22</v>
      </c>
      <c r="C96" s="76"/>
      <c r="D96" s="76"/>
      <c r="E96" s="66"/>
      <c r="F96" s="28"/>
      <c r="G96" s="37" t="s">
        <v>130</v>
      </c>
      <c r="H96" s="38" t="s">
        <v>20</v>
      </c>
      <c r="I96" s="33" t="s">
        <v>138</v>
      </c>
      <c r="J96" s="33" t="s">
        <v>41</v>
      </c>
      <c r="K96" s="32" t="s">
        <v>265</v>
      </c>
      <c r="L96" s="28"/>
      <c r="M96" s="28"/>
      <c r="N96" s="28"/>
      <c r="O96" s="28"/>
      <c r="P96" s="28">
        <v>20</v>
      </c>
      <c r="Q96" s="28"/>
      <c r="R96" s="28"/>
      <c r="S96" s="28"/>
      <c r="T96" s="28"/>
      <c r="U96" s="28">
        <v>1</v>
      </c>
      <c r="V96" s="28">
        <f t="shared" si="10"/>
        <v>20</v>
      </c>
      <c r="W96" s="39">
        <v>5</v>
      </c>
      <c r="X96" s="31" t="s">
        <v>19</v>
      </c>
      <c r="Y96" s="39">
        <f t="shared" si="9"/>
        <v>3.8</v>
      </c>
    </row>
    <row r="97" spans="1:25" ht="15.95" customHeight="1" thickBot="1">
      <c r="A97" s="33" t="s">
        <v>21</v>
      </c>
      <c r="B97" s="33" t="s">
        <v>22</v>
      </c>
      <c r="C97" s="76"/>
      <c r="D97" s="76"/>
      <c r="E97" s="66"/>
      <c r="F97" s="28"/>
      <c r="G97" s="37" t="s">
        <v>130</v>
      </c>
      <c r="H97" s="38" t="s">
        <v>20</v>
      </c>
      <c r="I97" s="33" t="s">
        <v>139</v>
      </c>
      <c r="J97" s="33" t="s">
        <v>41</v>
      </c>
      <c r="K97" s="32" t="s">
        <v>265</v>
      </c>
      <c r="L97" s="28"/>
      <c r="M97" s="28"/>
      <c r="N97" s="28"/>
      <c r="O97" s="28"/>
      <c r="P97" s="28">
        <v>20</v>
      </c>
      <c r="Q97" s="28"/>
      <c r="R97" s="28"/>
      <c r="S97" s="28"/>
      <c r="T97" s="28"/>
      <c r="U97" s="28">
        <v>1</v>
      </c>
      <c r="V97" s="28">
        <f t="shared" si="10"/>
        <v>20</v>
      </c>
      <c r="W97" s="39">
        <v>5</v>
      </c>
      <c r="X97" s="31" t="s">
        <v>19</v>
      </c>
      <c r="Y97" s="39">
        <f t="shared" si="9"/>
        <v>3.8</v>
      </c>
    </row>
    <row r="98" spans="1:25" ht="15.95" customHeight="1" thickBot="1">
      <c r="A98" s="33" t="s">
        <v>21</v>
      </c>
      <c r="B98" s="33" t="s">
        <v>22</v>
      </c>
      <c r="C98" s="76"/>
      <c r="D98" s="76"/>
      <c r="E98" s="66"/>
      <c r="F98" s="28"/>
      <c r="G98" s="37" t="s">
        <v>130</v>
      </c>
      <c r="H98" s="38" t="s">
        <v>20</v>
      </c>
      <c r="I98" s="33" t="s">
        <v>140</v>
      </c>
      <c r="J98" s="33" t="s">
        <v>41</v>
      </c>
      <c r="K98" s="32" t="s">
        <v>265</v>
      </c>
      <c r="L98" s="28"/>
      <c r="M98" s="28"/>
      <c r="N98" s="28"/>
      <c r="O98" s="28"/>
      <c r="P98" s="28">
        <v>5</v>
      </c>
      <c r="Q98" s="28"/>
      <c r="R98" s="28"/>
      <c r="S98" s="28"/>
      <c r="T98" s="28"/>
      <c r="U98" s="28">
        <v>1</v>
      </c>
      <c r="V98" s="28">
        <f t="shared" si="10"/>
        <v>5</v>
      </c>
      <c r="W98" s="39">
        <v>1.85</v>
      </c>
      <c r="X98" s="31" t="s">
        <v>24</v>
      </c>
      <c r="Y98" s="39">
        <f>W98-0.9</f>
        <v>0.95000000000000007</v>
      </c>
    </row>
    <row r="99" spans="1:25" ht="15.95" customHeight="1" thickBot="1">
      <c r="A99" s="33" t="s">
        <v>21</v>
      </c>
      <c r="B99" s="33" t="s">
        <v>22</v>
      </c>
      <c r="C99" s="76"/>
      <c r="D99" s="76"/>
      <c r="E99" s="66"/>
      <c r="F99" s="28"/>
      <c r="G99" s="37" t="s">
        <v>141</v>
      </c>
      <c r="H99" s="38" t="s">
        <v>20</v>
      </c>
      <c r="I99" s="33" t="s">
        <v>142</v>
      </c>
      <c r="J99" s="33" t="s">
        <v>41</v>
      </c>
      <c r="K99" s="32" t="s">
        <v>265</v>
      </c>
      <c r="L99" s="28"/>
      <c r="M99" s="28"/>
      <c r="N99" s="28"/>
      <c r="O99" s="28"/>
      <c r="P99" s="28"/>
      <c r="Q99" s="28">
        <v>20</v>
      </c>
      <c r="R99" s="28"/>
      <c r="S99" s="28"/>
      <c r="T99" s="28"/>
      <c r="U99" s="28">
        <v>1</v>
      </c>
      <c r="V99" s="28">
        <f t="shared" si="10"/>
        <v>20</v>
      </c>
      <c r="W99" s="39">
        <v>5.2</v>
      </c>
      <c r="X99" s="31" t="s">
        <v>19</v>
      </c>
      <c r="Y99" s="39">
        <f t="shared" si="9"/>
        <v>4</v>
      </c>
    </row>
    <row r="100" spans="1:25" ht="15.95" customHeight="1" thickBot="1">
      <c r="A100" s="33" t="s">
        <v>21</v>
      </c>
      <c r="B100" s="33" t="s">
        <v>22</v>
      </c>
      <c r="C100" s="76"/>
      <c r="D100" s="76"/>
      <c r="E100" s="66"/>
      <c r="F100" s="28"/>
      <c r="G100" s="37" t="s">
        <v>141</v>
      </c>
      <c r="H100" s="38" t="s">
        <v>20</v>
      </c>
      <c r="I100" s="33" t="s">
        <v>143</v>
      </c>
      <c r="J100" s="33" t="s">
        <v>41</v>
      </c>
      <c r="K100" s="32" t="s">
        <v>265</v>
      </c>
      <c r="L100" s="28"/>
      <c r="M100" s="28"/>
      <c r="N100" s="28"/>
      <c r="O100" s="28"/>
      <c r="P100" s="28"/>
      <c r="Q100" s="28">
        <v>20</v>
      </c>
      <c r="R100" s="28"/>
      <c r="S100" s="28"/>
      <c r="T100" s="28"/>
      <c r="U100" s="28">
        <v>1</v>
      </c>
      <c r="V100" s="28">
        <f t="shared" si="10"/>
        <v>20</v>
      </c>
      <c r="W100" s="39">
        <v>5.2</v>
      </c>
      <c r="X100" s="31" t="s">
        <v>19</v>
      </c>
      <c r="Y100" s="39">
        <f t="shared" si="9"/>
        <v>4</v>
      </c>
    </row>
    <row r="101" spans="1:25" ht="15.95" customHeight="1" thickBot="1">
      <c r="A101" s="33" t="s">
        <v>21</v>
      </c>
      <c r="B101" s="33" t="s">
        <v>22</v>
      </c>
      <c r="C101" s="76"/>
      <c r="D101" s="76"/>
      <c r="E101" s="66"/>
      <c r="F101" s="28"/>
      <c r="G101" s="37" t="s">
        <v>141</v>
      </c>
      <c r="H101" s="38" t="s">
        <v>20</v>
      </c>
      <c r="I101" s="33" t="s">
        <v>144</v>
      </c>
      <c r="J101" s="33" t="s">
        <v>41</v>
      </c>
      <c r="K101" s="32" t="s">
        <v>265</v>
      </c>
      <c r="L101" s="28"/>
      <c r="M101" s="28"/>
      <c r="N101" s="28"/>
      <c r="O101" s="28"/>
      <c r="P101" s="28"/>
      <c r="Q101" s="28">
        <v>20</v>
      </c>
      <c r="R101" s="28"/>
      <c r="S101" s="28"/>
      <c r="T101" s="28"/>
      <c r="U101" s="28">
        <v>1</v>
      </c>
      <c r="V101" s="28">
        <f t="shared" si="10"/>
        <v>20</v>
      </c>
      <c r="W101" s="39">
        <v>5.2</v>
      </c>
      <c r="X101" s="31" t="s">
        <v>19</v>
      </c>
      <c r="Y101" s="39">
        <f t="shared" si="9"/>
        <v>4</v>
      </c>
    </row>
    <row r="102" spans="1:25" ht="15.95" customHeight="1" thickBot="1">
      <c r="A102" s="33" t="s">
        <v>21</v>
      </c>
      <c r="B102" s="33" t="s">
        <v>22</v>
      </c>
      <c r="C102" s="76"/>
      <c r="D102" s="76"/>
      <c r="E102" s="66"/>
      <c r="F102" s="28"/>
      <c r="G102" s="37" t="s">
        <v>141</v>
      </c>
      <c r="H102" s="38" t="s">
        <v>20</v>
      </c>
      <c r="I102" s="33" t="s">
        <v>145</v>
      </c>
      <c r="J102" s="33" t="s">
        <v>41</v>
      </c>
      <c r="K102" s="32" t="s">
        <v>265</v>
      </c>
      <c r="L102" s="28"/>
      <c r="M102" s="28"/>
      <c r="N102" s="28"/>
      <c r="O102" s="28"/>
      <c r="P102" s="28"/>
      <c r="Q102" s="28">
        <v>20</v>
      </c>
      <c r="R102" s="28"/>
      <c r="S102" s="28"/>
      <c r="T102" s="28"/>
      <c r="U102" s="28">
        <v>1</v>
      </c>
      <c r="V102" s="28">
        <f t="shared" si="10"/>
        <v>20</v>
      </c>
      <c r="W102" s="39">
        <v>5.2</v>
      </c>
      <c r="X102" s="31" t="s">
        <v>19</v>
      </c>
      <c r="Y102" s="39">
        <f t="shared" si="9"/>
        <v>4</v>
      </c>
    </row>
    <row r="103" spans="1:25" ht="15.95" customHeight="1" thickBot="1">
      <c r="A103" s="33" t="s">
        <v>21</v>
      </c>
      <c r="B103" s="33" t="s">
        <v>22</v>
      </c>
      <c r="C103" s="76"/>
      <c r="D103" s="76"/>
      <c r="E103" s="66"/>
      <c r="F103" s="28"/>
      <c r="G103" s="37" t="s">
        <v>141</v>
      </c>
      <c r="H103" s="38" t="s">
        <v>20</v>
      </c>
      <c r="I103" s="33" t="s">
        <v>146</v>
      </c>
      <c r="J103" s="33" t="s">
        <v>41</v>
      </c>
      <c r="K103" s="32" t="s">
        <v>265</v>
      </c>
      <c r="L103" s="28"/>
      <c r="M103" s="28"/>
      <c r="N103" s="28"/>
      <c r="O103" s="28"/>
      <c r="P103" s="28"/>
      <c r="Q103" s="28">
        <v>20</v>
      </c>
      <c r="R103" s="28"/>
      <c r="S103" s="28"/>
      <c r="T103" s="28"/>
      <c r="U103" s="28">
        <v>1</v>
      </c>
      <c r="V103" s="28">
        <f t="shared" si="10"/>
        <v>20</v>
      </c>
      <c r="W103" s="39">
        <v>5.2</v>
      </c>
      <c r="X103" s="31" t="s">
        <v>19</v>
      </c>
      <c r="Y103" s="39">
        <f t="shared" si="9"/>
        <v>4</v>
      </c>
    </row>
    <row r="104" spans="1:25" ht="15.95" customHeight="1" thickBot="1">
      <c r="A104" s="33" t="s">
        <v>21</v>
      </c>
      <c r="B104" s="33" t="s">
        <v>22</v>
      </c>
      <c r="C104" s="76"/>
      <c r="D104" s="76"/>
      <c r="E104" s="66"/>
      <c r="F104" s="28"/>
      <c r="G104" s="37" t="s">
        <v>141</v>
      </c>
      <c r="H104" s="38" t="s">
        <v>20</v>
      </c>
      <c r="I104" s="33" t="s">
        <v>147</v>
      </c>
      <c r="J104" s="33" t="s">
        <v>41</v>
      </c>
      <c r="K104" s="32" t="s">
        <v>265</v>
      </c>
      <c r="L104" s="28"/>
      <c r="M104" s="28"/>
      <c r="N104" s="28"/>
      <c r="O104" s="28"/>
      <c r="P104" s="28"/>
      <c r="Q104" s="28">
        <v>20</v>
      </c>
      <c r="R104" s="28"/>
      <c r="S104" s="28"/>
      <c r="T104" s="28"/>
      <c r="U104" s="28">
        <v>1</v>
      </c>
      <c r="V104" s="28">
        <f t="shared" si="10"/>
        <v>20</v>
      </c>
      <c r="W104" s="39">
        <v>5.2</v>
      </c>
      <c r="X104" s="31" t="s">
        <v>19</v>
      </c>
      <c r="Y104" s="39">
        <f t="shared" si="9"/>
        <v>4</v>
      </c>
    </row>
    <row r="105" spans="1:25" ht="15.95" customHeight="1" thickBot="1">
      <c r="A105" s="33" t="s">
        <v>21</v>
      </c>
      <c r="B105" s="33" t="s">
        <v>22</v>
      </c>
      <c r="C105" s="76"/>
      <c r="D105" s="76"/>
      <c r="E105" s="66"/>
      <c r="F105" s="28"/>
      <c r="G105" s="37" t="s">
        <v>141</v>
      </c>
      <c r="H105" s="38" t="s">
        <v>20</v>
      </c>
      <c r="I105" s="33" t="s">
        <v>148</v>
      </c>
      <c r="J105" s="33" t="s">
        <v>41</v>
      </c>
      <c r="K105" s="32" t="s">
        <v>265</v>
      </c>
      <c r="L105" s="28"/>
      <c r="M105" s="28"/>
      <c r="N105" s="28"/>
      <c r="O105" s="28"/>
      <c r="P105" s="28"/>
      <c r="Q105" s="28">
        <v>20</v>
      </c>
      <c r="R105" s="28"/>
      <c r="S105" s="28"/>
      <c r="T105" s="28"/>
      <c r="U105" s="28">
        <v>1</v>
      </c>
      <c r="V105" s="28">
        <f t="shared" si="10"/>
        <v>20</v>
      </c>
      <c r="W105" s="39">
        <v>5.2</v>
      </c>
      <c r="X105" s="31" t="s">
        <v>19</v>
      </c>
      <c r="Y105" s="39">
        <f t="shared" si="9"/>
        <v>4</v>
      </c>
    </row>
    <row r="106" spans="1:25" ht="15.95" customHeight="1" thickBot="1">
      <c r="A106" s="33" t="s">
        <v>21</v>
      </c>
      <c r="B106" s="33" t="s">
        <v>22</v>
      </c>
      <c r="C106" s="76"/>
      <c r="D106" s="76"/>
      <c r="E106" s="66"/>
      <c r="F106" s="28"/>
      <c r="G106" s="37" t="s">
        <v>149</v>
      </c>
      <c r="H106" s="38" t="s">
        <v>20</v>
      </c>
      <c r="I106" s="33" t="s">
        <v>150</v>
      </c>
      <c r="J106" s="33" t="s">
        <v>41</v>
      </c>
      <c r="K106" s="32" t="s">
        <v>265</v>
      </c>
      <c r="L106" s="28"/>
      <c r="M106" s="28"/>
      <c r="N106" s="28"/>
      <c r="O106" s="28"/>
      <c r="P106" s="28"/>
      <c r="Q106" s="28"/>
      <c r="R106" s="28">
        <v>15</v>
      </c>
      <c r="S106" s="28"/>
      <c r="T106" s="28"/>
      <c r="U106" s="28">
        <v>1</v>
      </c>
      <c r="V106" s="28">
        <f t="shared" si="10"/>
        <v>15</v>
      </c>
      <c r="W106" s="39">
        <v>4.5</v>
      </c>
      <c r="X106" s="31" t="s">
        <v>19</v>
      </c>
      <c r="Y106" s="39">
        <f t="shared" si="9"/>
        <v>3.3</v>
      </c>
    </row>
    <row r="107" spans="1:25" ht="15.95" customHeight="1" thickBot="1">
      <c r="A107" s="33" t="s">
        <v>21</v>
      </c>
      <c r="B107" s="33" t="s">
        <v>22</v>
      </c>
      <c r="C107" s="76"/>
      <c r="D107" s="76"/>
      <c r="E107" s="66"/>
      <c r="F107" s="28"/>
      <c r="G107" s="37" t="s">
        <v>149</v>
      </c>
      <c r="H107" s="38" t="s">
        <v>20</v>
      </c>
      <c r="I107" s="33" t="s">
        <v>151</v>
      </c>
      <c r="J107" s="33" t="s">
        <v>41</v>
      </c>
      <c r="K107" s="32" t="s">
        <v>265</v>
      </c>
      <c r="L107" s="28"/>
      <c r="M107" s="28"/>
      <c r="N107" s="28"/>
      <c r="O107" s="28"/>
      <c r="P107" s="28"/>
      <c r="Q107" s="28"/>
      <c r="R107" s="28">
        <v>15</v>
      </c>
      <c r="S107" s="28"/>
      <c r="T107" s="28"/>
      <c r="U107" s="28">
        <v>1</v>
      </c>
      <c r="V107" s="28">
        <f t="shared" si="10"/>
        <v>15</v>
      </c>
      <c r="W107" s="39">
        <v>4.5</v>
      </c>
      <c r="X107" s="31" t="s">
        <v>19</v>
      </c>
      <c r="Y107" s="39">
        <f t="shared" si="9"/>
        <v>3.3</v>
      </c>
    </row>
    <row r="108" spans="1:25" ht="15.95" customHeight="1" thickBot="1">
      <c r="A108" s="33" t="s">
        <v>21</v>
      </c>
      <c r="B108" s="33" t="s">
        <v>22</v>
      </c>
      <c r="C108" s="76"/>
      <c r="D108" s="76"/>
      <c r="E108" s="66"/>
      <c r="F108" s="28"/>
      <c r="G108" s="37" t="s">
        <v>149</v>
      </c>
      <c r="H108" s="38" t="s">
        <v>20</v>
      </c>
      <c r="I108" s="33" t="s">
        <v>152</v>
      </c>
      <c r="J108" s="33" t="s">
        <v>41</v>
      </c>
      <c r="K108" s="32" t="s">
        <v>265</v>
      </c>
      <c r="L108" s="28"/>
      <c r="M108" s="28"/>
      <c r="N108" s="28"/>
      <c r="O108" s="28"/>
      <c r="P108" s="28"/>
      <c r="Q108" s="28"/>
      <c r="R108" s="28">
        <v>15</v>
      </c>
      <c r="S108" s="28"/>
      <c r="T108" s="28"/>
      <c r="U108" s="28">
        <v>1</v>
      </c>
      <c r="V108" s="28">
        <f t="shared" si="10"/>
        <v>15</v>
      </c>
      <c r="W108" s="39">
        <v>4.5</v>
      </c>
      <c r="X108" s="31" t="s">
        <v>19</v>
      </c>
      <c r="Y108" s="39">
        <f t="shared" si="9"/>
        <v>3.3</v>
      </c>
    </row>
    <row r="109" spans="1:25" ht="15.95" customHeight="1" thickBot="1">
      <c r="A109" s="33" t="s">
        <v>21</v>
      </c>
      <c r="B109" s="33" t="s">
        <v>22</v>
      </c>
      <c r="C109" s="76"/>
      <c r="D109" s="76"/>
      <c r="E109" s="66"/>
      <c r="F109" s="28"/>
      <c r="G109" s="37" t="s">
        <v>149</v>
      </c>
      <c r="H109" s="38" t="s">
        <v>20</v>
      </c>
      <c r="I109" s="33" t="s">
        <v>153</v>
      </c>
      <c r="J109" s="33" t="s">
        <v>41</v>
      </c>
      <c r="K109" s="32" t="s">
        <v>265</v>
      </c>
      <c r="L109" s="28"/>
      <c r="M109" s="28"/>
      <c r="N109" s="28"/>
      <c r="O109" s="28"/>
      <c r="P109" s="28"/>
      <c r="Q109" s="28"/>
      <c r="R109" s="28">
        <v>15</v>
      </c>
      <c r="S109" s="28"/>
      <c r="T109" s="28"/>
      <c r="U109" s="28">
        <v>1</v>
      </c>
      <c r="V109" s="28">
        <f t="shared" si="10"/>
        <v>15</v>
      </c>
      <c r="W109" s="39">
        <v>4.5</v>
      </c>
      <c r="X109" s="31" t="s">
        <v>19</v>
      </c>
      <c r="Y109" s="39">
        <f t="shared" si="9"/>
        <v>3.3</v>
      </c>
    </row>
    <row r="110" spans="1:25" ht="15.95" customHeight="1" thickBot="1">
      <c r="A110" s="33" t="s">
        <v>21</v>
      </c>
      <c r="B110" s="33" t="s">
        <v>22</v>
      </c>
      <c r="C110" s="76"/>
      <c r="D110" s="76"/>
      <c r="E110" s="66"/>
      <c r="F110" s="28"/>
      <c r="G110" s="37" t="s">
        <v>149</v>
      </c>
      <c r="H110" s="38" t="s">
        <v>20</v>
      </c>
      <c r="I110" s="33" t="s">
        <v>154</v>
      </c>
      <c r="J110" s="33" t="s">
        <v>41</v>
      </c>
      <c r="K110" s="32" t="s">
        <v>265</v>
      </c>
      <c r="L110" s="28"/>
      <c r="M110" s="28"/>
      <c r="N110" s="28"/>
      <c r="O110" s="28"/>
      <c r="P110" s="28"/>
      <c r="Q110" s="28"/>
      <c r="R110" s="28">
        <v>15</v>
      </c>
      <c r="S110" s="28"/>
      <c r="T110" s="28"/>
      <c r="U110" s="28">
        <v>1</v>
      </c>
      <c r="V110" s="28">
        <f t="shared" ref="V110:V137" si="11">SUM(L110:T110)</f>
        <v>15</v>
      </c>
      <c r="W110" s="39">
        <v>4.5</v>
      </c>
      <c r="X110" s="31" t="s">
        <v>19</v>
      </c>
      <c r="Y110" s="39">
        <f t="shared" si="9"/>
        <v>3.3</v>
      </c>
    </row>
    <row r="111" spans="1:25" ht="15.95" customHeight="1" thickBot="1">
      <c r="A111" s="33" t="s">
        <v>21</v>
      </c>
      <c r="B111" s="33" t="s">
        <v>22</v>
      </c>
      <c r="C111" s="76"/>
      <c r="D111" s="76"/>
      <c r="E111" s="66"/>
      <c r="F111" s="28"/>
      <c r="G111" s="37" t="s">
        <v>149</v>
      </c>
      <c r="H111" s="38" t="s">
        <v>20</v>
      </c>
      <c r="I111" s="33" t="s">
        <v>155</v>
      </c>
      <c r="J111" s="33" t="s">
        <v>41</v>
      </c>
      <c r="K111" s="32" t="s">
        <v>265</v>
      </c>
      <c r="L111" s="28"/>
      <c r="M111" s="28"/>
      <c r="N111" s="28"/>
      <c r="O111" s="28"/>
      <c r="P111" s="28"/>
      <c r="Q111" s="28"/>
      <c r="R111" s="28">
        <v>15</v>
      </c>
      <c r="S111" s="28"/>
      <c r="T111" s="28"/>
      <c r="U111" s="28">
        <v>1</v>
      </c>
      <c r="V111" s="28">
        <f t="shared" si="11"/>
        <v>15</v>
      </c>
      <c r="W111" s="39">
        <v>4.5</v>
      </c>
      <c r="X111" s="31" t="s">
        <v>19</v>
      </c>
      <c r="Y111" s="39">
        <f t="shared" si="9"/>
        <v>3.3</v>
      </c>
    </row>
    <row r="112" spans="1:25" ht="15.95" customHeight="1" thickBot="1">
      <c r="A112" s="33" t="s">
        <v>21</v>
      </c>
      <c r="B112" s="33" t="s">
        <v>22</v>
      </c>
      <c r="C112" s="76"/>
      <c r="D112" s="76"/>
      <c r="E112" s="66"/>
      <c r="F112" s="28"/>
      <c r="G112" s="37" t="s">
        <v>149</v>
      </c>
      <c r="H112" s="38" t="s">
        <v>20</v>
      </c>
      <c r="I112" s="33" t="s">
        <v>156</v>
      </c>
      <c r="J112" s="33" t="s">
        <v>41</v>
      </c>
      <c r="K112" s="32" t="s">
        <v>265</v>
      </c>
      <c r="L112" s="28"/>
      <c r="M112" s="28"/>
      <c r="N112" s="28"/>
      <c r="O112" s="28"/>
      <c r="P112" s="28"/>
      <c r="Q112" s="28"/>
      <c r="R112" s="28">
        <v>10</v>
      </c>
      <c r="S112" s="28"/>
      <c r="T112" s="28"/>
      <c r="U112" s="28">
        <v>1</v>
      </c>
      <c r="V112" s="28">
        <f t="shared" si="11"/>
        <v>10</v>
      </c>
      <c r="W112" s="39">
        <v>3.3</v>
      </c>
      <c r="X112" s="31" t="s">
        <v>23</v>
      </c>
      <c r="Y112" s="39">
        <f>W112-1.1</f>
        <v>2.1999999999999997</v>
      </c>
    </row>
    <row r="113" spans="1:25" ht="15.95" customHeight="1" thickBot="1">
      <c r="A113" s="33" t="s">
        <v>21</v>
      </c>
      <c r="B113" s="33" t="s">
        <v>22</v>
      </c>
      <c r="C113" s="76"/>
      <c r="D113" s="76"/>
      <c r="E113" s="66"/>
      <c r="F113" s="28"/>
      <c r="G113" s="37" t="s">
        <v>157</v>
      </c>
      <c r="H113" s="38" t="s">
        <v>20</v>
      </c>
      <c r="I113" s="33" t="s">
        <v>158</v>
      </c>
      <c r="J113" s="33" t="s">
        <v>41</v>
      </c>
      <c r="K113" s="32" t="s">
        <v>265</v>
      </c>
      <c r="L113" s="28"/>
      <c r="M113" s="28"/>
      <c r="N113" s="28"/>
      <c r="O113" s="28"/>
      <c r="P113" s="28"/>
      <c r="Q113" s="28"/>
      <c r="R113" s="28"/>
      <c r="S113" s="28">
        <v>15</v>
      </c>
      <c r="T113" s="28"/>
      <c r="U113" s="28">
        <v>1</v>
      </c>
      <c r="V113" s="28">
        <f t="shared" si="11"/>
        <v>15</v>
      </c>
      <c r="W113" s="39">
        <v>4.6500000000000004</v>
      </c>
      <c r="X113" s="31" t="s">
        <v>19</v>
      </c>
      <c r="Y113" s="39">
        <f t="shared" si="9"/>
        <v>3.45</v>
      </c>
    </row>
    <row r="114" spans="1:25" ht="15.95" customHeight="1" thickBot="1">
      <c r="A114" s="33" t="s">
        <v>21</v>
      </c>
      <c r="B114" s="33" t="s">
        <v>22</v>
      </c>
      <c r="C114" s="76"/>
      <c r="D114" s="76"/>
      <c r="E114" s="66"/>
      <c r="F114" s="28"/>
      <c r="G114" s="37" t="s">
        <v>157</v>
      </c>
      <c r="H114" s="38" t="s">
        <v>20</v>
      </c>
      <c r="I114" s="33" t="s">
        <v>159</v>
      </c>
      <c r="J114" s="33" t="s">
        <v>41</v>
      </c>
      <c r="K114" s="32" t="s">
        <v>265</v>
      </c>
      <c r="L114" s="28"/>
      <c r="M114" s="28"/>
      <c r="N114" s="28"/>
      <c r="O114" s="28"/>
      <c r="P114" s="28"/>
      <c r="Q114" s="28"/>
      <c r="R114" s="28"/>
      <c r="S114" s="28">
        <v>5</v>
      </c>
      <c r="T114" s="28"/>
      <c r="U114" s="28">
        <v>1</v>
      </c>
      <c r="V114" s="28">
        <f t="shared" si="11"/>
        <v>5</v>
      </c>
      <c r="W114" s="39">
        <v>2.0499999999999998</v>
      </c>
      <c r="X114" s="31" t="s">
        <v>24</v>
      </c>
      <c r="Y114" s="39">
        <f>W114-0.9</f>
        <v>1.1499999999999999</v>
      </c>
    </row>
    <row r="115" spans="1:25" ht="15.95" customHeight="1" thickBot="1">
      <c r="A115" s="33" t="s">
        <v>21</v>
      </c>
      <c r="B115" s="33" t="s">
        <v>22</v>
      </c>
      <c r="C115" s="76"/>
      <c r="D115" s="76"/>
      <c r="E115" s="66"/>
      <c r="F115" s="28"/>
      <c r="G115" s="37" t="s">
        <v>160</v>
      </c>
      <c r="H115" s="38" t="s">
        <v>20</v>
      </c>
      <c r="I115" s="33" t="s">
        <v>161</v>
      </c>
      <c r="J115" s="33" t="s">
        <v>41</v>
      </c>
      <c r="K115" s="32" t="s">
        <v>266</v>
      </c>
      <c r="L115" s="28"/>
      <c r="M115" s="28"/>
      <c r="N115" s="28">
        <v>30</v>
      </c>
      <c r="O115" s="28"/>
      <c r="P115" s="28"/>
      <c r="Q115" s="28"/>
      <c r="R115" s="28"/>
      <c r="S115" s="28"/>
      <c r="T115" s="28"/>
      <c r="U115" s="28">
        <v>1</v>
      </c>
      <c r="V115" s="28">
        <f t="shared" si="11"/>
        <v>30</v>
      </c>
      <c r="W115" s="39">
        <v>6.9</v>
      </c>
      <c r="X115" s="31" t="s">
        <v>19</v>
      </c>
      <c r="Y115" s="39">
        <f t="shared" si="9"/>
        <v>5.7</v>
      </c>
    </row>
    <row r="116" spans="1:25" ht="15.95" customHeight="1" thickBot="1">
      <c r="A116" s="33" t="s">
        <v>21</v>
      </c>
      <c r="B116" s="33" t="s">
        <v>22</v>
      </c>
      <c r="C116" s="76"/>
      <c r="D116" s="76"/>
      <c r="E116" s="66"/>
      <c r="F116" s="28"/>
      <c r="G116" s="37" t="s">
        <v>160</v>
      </c>
      <c r="H116" s="38" t="s">
        <v>20</v>
      </c>
      <c r="I116" s="33" t="s">
        <v>162</v>
      </c>
      <c r="J116" s="33" t="s">
        <v>41</v>
      </c>
      <c r="K116" s="32" t="s">
        <v>266</v>
      </c>
      <c r="L116" s="28"/>
      <c r="M116" s="28"/>
      <c r="N116" s="28">
        <v>30</v>
      </c>
      <c r="O116" s="28"/>
      <c r="P116" s="28"/>
      <c r="Q116" s="28"/>
      <c r="R116" s="28"/>
      <c r="S116" s="28"/>
      <c r="T116" s="28"/>
      <c r="U116" s="28">
        <v>1</v>
      </c>
      <c r="V116" s="28">
        <f t="shared" si="11"/>
        <v>30</v>
      </c>
      <c r="W116" s="39">
        <v>6.9</v>
      </c>
      <c r="X116" s="31" t="s">
        <v>19</v>
      </c>
      <c r="Y116" s="39">
        <f t="shared" si="9"/>
        <v>5.7</v>
      </c>
    </row>
    <row r="117" spans="1:25" ht="15.95" customHeight="1" thickBot="1">
      <c r="A117" s="33" t="s">
        <v>21</v>
      </c>
      <c r="B117" s="33" t="s">
        <v>22</v>
      </c>
      <c r="C117" s="76"/>
      <c r="D117" s="76"/>
      <c r="E117" s="66"/>
      <c r="F117" s="28"/>
      <c r="G117" s="37" t="s">
        <v>160</v>
      </c>
      <c r="H117" s="38" t="s">
        <v>20</v>
      </c>
      <c r="I117" s="33" t="s">
        <v>163</v>
      </c>
      <c r="J117" s="33" t="s">
        <v>41</v>
      </c>
      <c r="K117" s="32" t="s">
        <v>266</v>
      </c>
      <c r="L117" s="28"/>
      <c r="M117" s="28"/>
      <c r="N117" s="28">
        <v>10</v>
      </c>
      <c r="O117" s="28"/>
      <c r="P117" s="28"/>
      <c r="Q117" s="28"/>
      <c r="R117" s="28"/>
      <c r="S117" s="28"/>
      <c r="T117" s="28"/>
      <c r="U117" s="28">
        <v>1</v>
      </c>
      <c r="V117" s="28">
        <f t="shared" si="11"/>
        <v>10</v>
      </c>
      <c r="W117" s="39">
        <v>2.8</v>
      </c>
      <c r="X117" s="31" t="s">
        <v>24</v>
      </c>
      <c r="Y117" s="39">
        <f>W117-0.9</f>
        <v>1.9</v>
      </c>
    </row>
    <row r="118" spans="1:25" ht="15.95" customHeight="1" thickBot="1">
      <c r="A118" s="33" t="s">
        <v>21</v>
      </c>
      <c r="B118" s="33" t="s">
        <v>22</v>
      </c>
      <c r="C118" s="76"/>
      <c r="D118" s="76"/>
      <c r="E118" s="66"/>
      <c r="F118" s="28"/>
      <c r="G118" s="37" t="s">
        <v>164</v>
      </c>
      <c r="H118" s="38" t="s">
        <v>20</v>
      </c>
      <c r="I118" s="33" t="s">
        <v>165</v>
      </c>
      <c r="J118" s="33" t="s">
        <v>41</v>
      </c>
      <c r="K118" s="32" t="s">
        <v>266</v>
      </c>
      <c r="L118" s="28"/>
      <c r="M118" s="28"/>
      <c r="N118" s="28"/>
      <c r="O118" s="28">
        <v>20</v>
      </c>
      <c r="P118" s="28"/>
      <c r="Q118" s="28"/>
      <c r="R118" s="28"/>
      <c r="S118" s="28"/>
      <c r="T118" s="28"/>
      <c r="U118" s="28">
        <v>1</v>
      </c>
      <c r="V118" s="28">
        <f t="shared" si="11"/>
        <v>20</v>
      </c>
      <c r="W118" s="39">
        <v>5.2</v>
      </c>
      <c r="X118" s="31" t="s">
        <v>19</v>
      </c>
      <c r="Y118" s="39">
        <f t="shared" si="9"/>
        <v>4</v>
      </c>
    </row>
    <row r="119" spans="1:25" ht="15.95" customHeight="1" thickBot="1">
      <c r="A119" s="33" t="s">
        <v>21</v>
      </c>
      <c r="B119" s="33" t="s">
        <v>22</v>
      </c>
      <c r="C119" s="76"/>
      <c r="D119" s="76"/>
      <c r="E119" s="66"/>
      <c r="F119" s="28"/>
      <c r="G119" s="37" t="s">
        <v>164</v>
      </c>
      <c r="H119" s="38" t="s">
        <v>20</v>
      </c>
      <c r="I119" s="33" t="s">
        <v>166</v>
      </c>
      <c r="J119" s="33" t="s">
        <v>41</v>
      </c>
      <c r="K119" s="32" t="s">
        <v>266</v>
      </c>
      <c r="L119" s="28"/>
      <c r="M119" s="28"/>
      <c r="N119" s="28"/>
      <c r="O119" s="28">
        <v>20</v>
      </c>
      <c r="P119" s="28"/>
      <c r="Q119" s="28"/>
      <c r="R119" s="28"/>
      <c r="S119" s="28"/>
      <c r="T119" s="28"/>
      <c r="U119" s="28">
        <v>1</v>
      </c>
      <c r="V119" s="28">
        <f t="shared" si="11"/>
        <v>20</v>
      </c>
      <c r="W119" s="39">
        <v>5.2</v>
      </c>
      <c r="X119" s="31" t="s">
        <v>19</v>
      </c>
      <c r="Y119" s="39">
        <f t="shared" si="9"/>
        <v>4</v>
      </c>
    </row>
    <row r="120" spans="1:25" ht="15.95" customHeight="1" thickBot="1">
      <c r="A120" s="33" t="s">
        <v>21</v>
      </c>
      <c r="B120" s="33" t="s">
        <v>22</v>
      </c>
      <c r="C120" s="76"/>
      <c r="D120" s="76"/>
      <c r="E120" s="66"/>
      <c r="F120" s="28"/>
      <c r="G120" s="37" t="s">
        <v>164</v>
      </c>
      <c r="H120" s="38" t="s">
        <v>20</v>
      </c>
      <c r="I120" s="33" t="s">
        <v>167</v>
      </c>
      <c r="J120" s="33" t="s">
        <v>41</v>
      </c>
      <c r="K120" s="32" t="s">
        <v>266</v>
      </c>
      <c r="L120" s="28"/>
      <c r="M120" s="28"/>
      <c r="N120" s="28"/>
      <c r="O120" s="28">
        <v>15</v>
      </c>
      <c r="P120" s="28"/>
      <c r="Q120" s="28"/>
      <c r="R120" s="28"/>
      <c r="S120" s="28"/>
      <c r="T120" s="28"/>
      <c r="U120" s="28">
        <v>1</v>
      </c>
      <c r="V120" s="28">
        <f t="shared" si="11"/>
        <v>15</v>
      </c>
      <c r="W120" s="39">
        <v>4.0999999999999996</v>
      </c>
      <c r="X120" s="31" t="s">
        <v>23</v>
      </c>
      <c r="Y120" s="39">
        <f>W120-1.1</f>
        <v>2.9999999999999996</v>
      </c>
    </row>
    <row r="121" spans="1:25" ht="15.95" customHeight="1" thickBot="1">
      <c r="A121" s="33" t="s">
        <v>21</v>
      </c>
      <c r="B121" s="33" t="s">
        <v>22</v>
      </c>
      <c r="C121" s="76"/>
      <c r="D121" s="76"/>
      <c r="E121" s="66"/>
      <c r="F121" s="28"/>
      <c r="G121" s="37" t="s">
        <v>168</v>
      </c>
      <c r="H121" s="38" t="s">
        <v>20</v>
      </c>
      <c r="I121" s="33" t="s">
        <v>169</v>
      </c>
      <c r="J121" s="33" t="s">
        <v>41</v>
      </c>
      <c r="K121" s="32" t="s">
        <v>266</v>
      </c>
      <c r="L121" s="28"/>
      <c r="M121" s="28"/>
      <c r="N121" s="28"/>
      <c r="O121" s="28"/>
      <c r="P121" s="28">
        <v>15</v>
      </c>
      <c r="Q121" s="28"/>
      <c r="R121" s="28"/>
      <c r="S121" s="28"/>
      <c r="T121" s="28"/>
      <c r="U121" s="28">
        <v>1</v>
      </c>
      <c r="V121" s="28">
        <f t="shared" si="11"/>
        <v>15</v>
      </c>
      <c r="W121" s="39">
        <v>4.3499999999999996</v>
      </c>
      <c r="X121" s="31" t="s">
        <v>19</v>
      </c>
      <c r="Y121" s="39">
        <f t="shared" si="9"/>
        <v>3.1499999999999995</v>
      </c>
    </row>
    <row r="122" spans="1:25" ht="15.95" customHeight="1" thickBot="1">
      <c r="A122" s="33" t="s">
        <v>21</v>
      </c>
      <c r="B122" s="33" t="s">
        <v>22</v>
      </c>
      <c r="C122" s="76"/>
      <c r="D122" s="76"/>
      <c r="E122" s="66"/>
      <c r="F122" s="28"/>
      <c r="G122" s="37" t="s">
        <v>168</v>
      </c>
      <c r="H122" s="38" t="s">
        <v>20</v>
      </c>
      <c r="I122" s="33" t="s">
        <v>170</v>
      </c>
      <c r="J122" s="33" t="s">
        <v>41</v>
      </c>
      <c r="K122" s="32" t="s">
        <v>266</v>
      </c>
      <c r="L122" s="28"/>
      <c r="M122" s="28"/>
      <c r="N122" s="28"/>
      <c r="O122" s="28"/>
      <c r="P122" s="28">
        <v>15</v>
      </c>
      <c r="Q122" s="28"/>
      <c r="R122" s="28"/>
      <c r="S122" s="28"/>
      <c r="T122" s="28"/>
      <c r="U122" s="28">
        <v>1</v>
      </c>
      <c r="V122" s="28">
        <f t="shared" si="11"/>
        <v>15</v>
      </c>
      <c r="W122" s="39">
        <v>4.3499999999999996</v>
      </c>
      <c r="X122" s="31" t="s">
        <v>19</v>
      </c>
      <c r="Y122" s="39">
        <f t="shared" si="9"/>
        <v>3.1499999999999995</v>
      </c>
    </row>
    <row r="123" spans="1:25" ht="15.95" customHeight="1" thickBot="1">
      <c r="A123" s="33" t="s">
        <v>21</v>
      </c>
      <c r="B123" s="33" t="s">
        <v>22</v>
      </c>
      <c r="C123" s="76"/>
      <c r="D123" s="76"/>
      <c r="E123" s="66"/>
      <c r="F123" s="28"/>
      <c r="G123" s="37" t="s">
        <v>168</v>
      </c>
      <c r="H123" s="38" t="s">
        <v>20</v>
      </c>
      <c r="I123" s="33" t="s">
        <v>171</v>
      </c>
      <c r="J123" s="33" t="s">
        <v>41</v>
      </c>
      <c r="K123" s="32" t="s">
        <v>266</v>
      </c>
      <c r="L123" s="28"/>
      <c r="M123" s="28"/>
      <c r="N123" s="28"/>
      <c r="O123" s="28"/>
      <c r="P123" s="28">
        <v>15</v>
      </c>
      <c r="Q123" s="28"/>
      <c r="R123" s="28"/>
      <c r="S123" s="28"/>
      <c r="T123" s="28"/>
      <c r="U123" s="28">
        <v>1</v>
      </c>
      <c r="V123" s="28">
        <f t="shared" si="11"/>
        <v>15</v>
      </c>
      <c r="W123" s="39">
        <v>4.3499999999999996</v>
      </c>
      <c r="X123" s="31" t="s">
        <v>19</v>
      </c>
      <c r="Y123" s="39">
        <f t="shared" si="9"/>
        <v>3.1499999999999995</v>
      </c>
    </row>
    <row r="124" spans="1:25" ht="15.95" customHeight="1" thickBot="1">
      <c r="A124" s="33" t="s">
        <v>21</v>
      </c>
      <c r="B124" s="33" t="s">
        <v>22</v>
      </c>
      <c r="C124" s="76"/>
      <c r="D124" s="76"/>
      <c r="E124" s="66"/>
      <c r="F124" s="28"/>
      <c r="G124" s="37" t="s">
        <v>168</v>
      </c>
      <c r="H124" s="38" t="s">
        <v>20</v>
      </c>
      <c r="I124" s="33" t="s">
        <v>172</v>
      </c>
      <c r="J124" s="33" t="s">
        <v>41</v>
      </c>
      <c r="K124" s="32" t="s">
        <v>266</v>
      </c>
      <c r="L124" s="28"/>
      <c r="M124" s="28"/>
      <c r="N124" s="28"/>
      <c r="O124" s="28"/>
      <c r="P124" s="28">
        <v>15</v>
      </c>
      <c r="Q124" s="28"/>
      <c r="R124" s="28"/>
      <c r="S124" s="28"/>
      <c r="T124" s="28"/>
      <c r="U124" s="28">
        <v>1</v>
      </c>
      <c r="V124" s="28">
        <f t="shared" si="11"/>
        <v>15</v>
      </c>
      <c r="W124" s="39">
        <v>4.3499999999999996</v>
      </c>
      <c r="X124" s="31" t="s">
        <v>19</v>
      </c>
      <c r="Y124" s="39">
        <f t="shared" si="9"/>
        <v>3.1499999999999995</v>
      </c>
    </row>
    <row r="125" spans="1:25" ht="15.95" customHeight="1" thickBot="1">
      <c r="A125" s="33" t="s">
        <v>21</v>
      </c>
      <c r="B125" s="33" t="s">
        <v>22</v>
      </c>
      <c r="C125" s="76"/>
      <c r="D125" s="76"/>
      <c r="E125" s="66"/>
      <c r="F125" s="28"/>
      <c r="G125" s="37" t="s">
        <v>168</v>
      </c>
      <c r="H125" s="38" t="s">
        <v>20</v>
      </c>
      <c r="I125" s="33" t="s">
        <v>173</v>
      </c>
      <c r="J125" s="33" t="s">
        <v>41</v>
      </c>
      <c r="K125" s="32" t="s">
        <v>266</v>
      </c>
      <c r="L125" s="28"/>
      <c r="M125" s="28"/>
      <c r="N125" s="28"/>
      <c r="O125" s="28"/>
      <c r="P125" s="28">
        <v>15</v>
      </c>
      <c r="Q125" s="28"/>
      <c r="R125" s="28"/>
      <c r="S125" s="28"/>
      <c r="T125" s="28"/>
      <c r="U125" s="28">
        <v>1</v>
      </c>
      <c r="V125" s="28">
        <f t="shared" si="11"/>
        <v>15</v>
      </c>
      <c r="W125" s="39">
        <v>4.3499999999999996</v>
      </c>
      <c r="X125" s="31" t="s">
        <v>19</v>
      </c>
      <c r="Y125" s="39">
        <f t="shared" si="9"/>
        <v>3.1499999999999995</v>
      </c>
    </row>
    <row r="126" spans="1:25" ht="15.95" customHeight="1" thickBot="1">
      <c r="A126" s="33" t="s">
        <v>21</v>
      </c>
      <c r="B126" s="33" t="s">
        <v>22</v>
      </c>
      <c r="C126" s="76"/>
      <c r="D126" s="76"/>
      <c r="E126" s="66"/>
      <c r="F126" s="28"/>
      <c r="G126" s="37" t="s">
        <v>168</v>
      </c>
      <c r="H126" s="38" t="s">
        <v>20</v>
      </c>
      <c r="I126" s="33" t="s">
        <v>174</v>
      </c>
      <c r="J126" s="33" t="s">
        <v>41</v>
      </c>
      <c r="K126" s="32" t="s">
        <v>266</v>
      </c>
      <c r="L126" s="28"/>
      <c r="M126" s="28"/>
      <c r="N126" s="28"/>
      <c r="O126" s="28"/>
      <c r="P126" s="28">
        <v>15</v>
      </c>
      <c r="Q126" s="28"/>
      <c r="R126" s="28"/>
      <c r="S126" s="28"/>
      <c r="T126" s="28"/>
      <c r="U126" s="28">
        <v>1</v>
      </c>
      <c r="V126" s="28">
        <f t="shared" si="11"/>
        <v>15</v>
      </c>
      <c r="W126" s="39">
        <v>4.3499999999999996</v>
      </c>
      <c r="X126" s="31" t="s">
        <v>19</v>
      </c>
      <c r="Y126" s="39">
        <f t="shared" si="9"/>
        <v>3.1499999999999995</v>
      </c>
    </row>
    <row r="127" spans="1:25" ht="15.95" customHeight="1" thickBot="1">
      <c r="A127" s="33" t="s">
        <v>21</v>
      </c>
      <c r="B127" s="33" t="s">
        <v>22</v>
      </c>
      <c r="C127" s="76"/>
      <c r="D127" s="76"/>
      <c r="E127" s="66"/>
      <c r="F127" s="28"/>
      <c r="G127" s="37" t="s">
        <v>168</v>
      </c>
      <c r="H127" s="38" t="s">
        <v>20</v>
      </c>
      <c r="I127" s="33" t="s">
        <v>175</v>
      </c>
      <c r="J127" s="33" t="s">
        <v>41</v>
      </c>
      <c r="K127" s="32" t="s">
        <v>266</v>
      </c>
      <c r="L127" s="28"/>
      <c r="M127" s="28"/>
      <c r="N127" s="28"/>
      <c r="O127" s="28"/>
      <c r="P127" s="28">
        <v>15</v>
      </c>
      <c r="Q127" s="28"/>
      <c r="R127" s="28"/>
      <c r="S127" s="28"/>
      <c r="T127" s="28"/>
      <c r="U127" s="28">
        <v>1</v>
      </c>
      <c r="V127" s="28">
        <f t="shared" si="11"/>
        <v>15</v>
      </c>
      <c r="W127" s="39">
        <v>4.3499999999999996</v>
      </c>
      <c r="X127" s="31" t="s">
        <v>19</v>
      </c>
      <c r="Y127" s="39">
        <f t="shared" si="9"/>
        <v>3.1499999999999995</v>
      </c>
    </row>
    <row r="128" spans="1:25" ht="15.95" customHeight="1" thickBot="1">
      <c r="A128" s="33" t="s">
        <v>21</v>
      </c>
      <c r="B128" s="33" t="s">
        <v>22</v>
      </c>
      <c r="C128" s="76"/>
      <c r="D128" s="76"/>
      <c r="E128" s="66"/>
      <c r="F128" s="28"/>
      <c r="G128" s="37" t="s">
        <v>168</v>
      </c>
      <c r="H128" s="38" t="s">
        <v>20</v>
      </c>
      <c r="I128" s="33" t="s">
        <v>176</v>
      </c>
      <c r="J128" s="33" t="s">
        <v>41</v>
      </c>
      <c r="K128" s="32" t="s">
        <v>266</v>
      </c>
      <c r="L128" s="28"/>
      <c r="M128" s="28"/>
      <c r="N128" s="28"/>
      <c r="O128" s="28"/>
      <c r="P128" s="28">
        <v>15</v>
      </c>
      <c r="Q128" s="28"/>
      <c r="R128" s="28"/>
      <c r="S128" s="28"/>
      <c r="T128" s="28"/>
      <c r="U128" s="28">
        <v>1</v>
      </c>
      <c r="V128" s="28">
        <f t="shared" si="11"/>
        <v>15</v>
      </c>
      <c r="W128" s="39">
        <v>4.3499999999999996</v>
      </c>
      <c r="X128" s="31" t="s">
        <v>19</v>
      </c>
      <c r="Y128" s="39">
        <f t="shared" si="9"/>
        <v>3.1499999999999995</v>
      </c>
    </row>
    <row r="129" spans="1:25" ht="15.95" customHeight="1" thickBot="1">
      <c r="A129" s="33" t="s">
        <v>21</v>
      </c>
      <c r="B129" s="33" t="s">
        <v>22</v>
      </c>
      <c r="C129" s="76"/>
      <c r="D129" s="76"/>
      <c r="E129" s="66"/>
      <c r="F129" s="28"/>
      <c r="G129" s="37" t="s">
        <v>168</v>
      </c>
      <c r="H129" s="38" t="s">
        <v>20</v>
      </c>
      <c r="I129" s="33" t="s">
        <v>177</v>
      </c>
      <c r="J129" s="33" t="s">
        <v>41</v>
      </c>
      <c r="K129" s="32" t="s">
        <v>266</v>
      </c>
      <c r="L129" s="28"/>
      <c r="M129" s="28"/>
      <c r="N129" s="28"/>
      <c r="O129" s="28"/>
      <c r="P129" s="28">
        <v>10</v>
      </c>
      <c r="Q129" s="28"/>
      <c r="R129" s="28"/>
      <c r="S129" s="28"/>
      <c r="T129" s="28"/>
      <c r="U129" s="28">
        <v>1</v>
      </c>
      <c r="V129" s="28">
        <f t="shared" si="11"/>
        <v>10</v>
      </c>
      <c r="W129" s="39">
        <v>3.2</v>
      </c>
      <c r="X129" s="31" t="s">
        <v>23</v>
      </c>
      <c r="Y129" s="39">
        <f>W129-1.1</f>
        <v>2.1</v>
      </c>
    </row>
    <row r="130" spans="1:25" ht="15.95" customHeight="1" thickBot="1">
      <c r="A130" s="33" t="s">
        <v>21</v>
      </c>
      <c r="B130" s="33" t="s">
        <v>22</v>
      </c>
      <c r="C130" s="76"/>
      <c r="D130" s="76"/>
      <c r="E130" s="66"/>
      <c r="F130" s="28"/>
      <c r="G130" s="37" t="s">
        <v>178</v>
      </c>
      <c r="H130" s="38" t="s">
        <v>20</v>
      </c>
      <c r="I130" s="33" t="s">
        <v>179</v>
      </c>
      <c r="J130" s="33" t="s">
        <v>41</v>
      </c>
      <c r="K130" s="32" t="s">
        <v>266</v>
      </c>
      <c r="L130" s="28"/>
      <c r="M130" s="28"/>
      <c r="N130" s="28"/>
      <c r="O130" s="28"/>
      <c r="P130" s="28"/>
      <c r="Q130" s="28">
        <v>15</v>
      </c>
      <c r="R130" s="28"/>
      <c r="S130" s="28"/>
      <c r="T130" s="28"/>
      <c r="U130" s="28">
        <v>1</v>
      </c>
      <c r="V130" s="28">
        <f t="shared" si="11"/>
        <v>15</v>
      </c>
      <c r="W130" s="39">
        <v>4.5</v>
      </c>
      <c r="X130" s="31" t="s">
        <v>19</v>
      </c>
      <c r="Y130" s="39">
        <f t="shared" si="9"/>
        <v>3.3</v>
      </c>
    </row>
    <row r="131" spans="1:25" ht="15.95" customHeight="1" thickBot="1">
      <c r="A131" s="33" t="s">
        <v>21</v>
      </c>
      <c r="B131" s="33" t="s">
        <v>22</v>
      </c>
      <c r="C131" s="76"/>
      <c r="D131" s="76"/>
      <c r="E131" s="66"/>
      <c r="F131" s="28"/>
      <c r="G131" s="37" t="s">
        <v>178</v>
      </c>
      <c r="H131" s="38" t="s">
        <v>20</v>
      </c>
      <c r="I131" s="33" t="s">
        <v>180</v>
      </c>
      <c r="J131" s="33" t="s">
        <v>41</v>
      </c>
      <c r="K131" s="32" t="s">
        <v>266</v>
      </c>
      <c r="L131" s="28"/>
      <c r="M131" s="28"/>
      <c r="N131" s="28"/>
      <c r="O131" s="28"/>
      <c r="P131" s="28"/>
      <c r="Q131" s="28">
        <v>15</v>
      </c>
      <c r="R131" s="28"/>
      <c r="S131" s="28"/>
      <c r="T131" s="28"/>
      <c r="U131" s="28">
        <v>1</v>
      </c>
      <c r="V131" s="28">
        <f t="shared" si="11"/>
        <v>15</v>
      </c>
      <c r="W131" s="39">
        <v>4.5</v>
      </c>
      <c r="X131" s="31" t="s">
        <v>19</v>
      </c>
      <c r="Y131" s="39">
        <f t="shared" si="9"/>
        <v>3.3</v>
      </c>
    </row>
    <row r="132" spans="1:25" ht="15.95" customHeight="1" thickBot="1">
      <c r="A132" s="33" t="s">
        <v>21</v>
      </c>
      <c r="B132" s="33" t="s">
        <v>22</v>
      </c>
      <c r="C132" s="76"/>
      <c r="D132" s="76"/>
      <c r="E132" s="66"/>
      <c r="F132" s="28"/>
      <c r="G132" s="37" t="s">
        <v>178</v>
      </c>
      <c r="H132" s="38" t="s">
        <v>20</v>
      </c>
      <c r="I132" s="33" t="s">
        <v>181</v>
      </c>
      <c r="J132" s="33" t="s">
        <v>41</v>
      </c>
      <c r="K132" s="32" t="s">
        <v>266</v>
      </c>
      <c r="L132" s="28"/>
      <c r="M132" s="28"/>
      <c r="N132" s="28"/>
      <c r="O132" s="28"/>
      <c r="P132" s="28"/>
      <c r="Q132" s="28">
        <v>15</v>
      </c>
      <c r="R132" s="28"/>
      <c r="S132" s="28"/>
      <c r="T132" s="28"/>
      <c r="U132" s="28">
        <v>1</v>
      </c>
      <c r="V132" s="28">
        <f t="shared" si="11"/>
        <v>15</v>
      </c>
      <c r="W132" s="39">
        <v>4.5</v>
      </c>
      <c r="X132" s="31" t="s">
        <v>19</v>
      </c>
      <c r="Y132" s="39">
        <f t="shared" si="9"/>
        <v>3.3</v>
      </c>
    </row>
    <row r="133" spans="1:25" ht="15.95" customHeight="1" thickBot="1">
      <c r="A133" s="33" t="s">
        <v>21</v>
      </c>
      <c r="B133" s="33" t="s">
        <v>22</v>
      </c>
      <c r="C133" s="76"/>
      <c r="D133" s="76"/>
      <c r="E133" s="66"/>
      <c r="F133" s="28"/>
      <c r="G133" s="37" t="s">
        <v>182</v>
      </c>
      <c r="H133" s="38" t="s">
        <v>20</v>
      </c>
      <c r="I133" s="33" t="s">
        <v>183</v>
      </c>
      <c r="J133" s="33" t="s">
        <v>41</v>
      </c>
      <c r="K133" s="32" t="s">
        <v>266</v>
      </c>
      <c r="L133" s="28"/>
      <c r="M133" s="28"/>
      <c r="N133" s="28"/>
      <c r="O133" s="28"/>
      <c r="P133" s="28"/>
      <c r="Q133" s="28"/>
      <c r="R133" s="28">
        <v>15</v>
      </c>
      <c r="S133" s="28"/>
      <c r="T133" s="28"/>
      <c r="U133" s="28">
        <v>1</v>
      </c>
      <c r="V133" s="28">
        <f t="shared" si="11"/>
        <v>15</v>
      </c>
      <c r="W133" s="39">
        <v>4.6500000000000004</v>
      </c>
      <c r="X133" s="31" t="s">
        <v>19</v>
      </c>
      <c r="Y133" s="39">
        <f t="shared" si="9"/>
        <v>3.45</v>
      </c>
    </row>
    <row r="134" spans="1:25" ht="15.95" customHeight="1" thickBot="1">
      <c r="A134" s="33" t="s">
        <v>21</v>
      </c>
      <c r="B134" s="33" t="s">
        <v>22</v>
      </c>
      <c r="C134" s="76"/>
      <c r="D134" s="76"/>
      <c r="E134" s="66"/>
      <c r="F134" s="28"/>
      <c r="G134" s="37" t="s">
        <v>182</v>
      </c>
      <c r="H134" s="38" t="s">
        <v>20</v>
      </c>
      <c r="I134" s="33" t="s">
        <v>184</v>
      </c>
      <c r="J134" s="33" t="s">
        <v>41</v>
      </c>
      <c r="K134" s="32" t="s">
        <v>266</v>
      </c>
      <c r="L134" s="28"/>
      <c r="M134" s="28"/>
      <c r="N134" s="28"/>
      <c r="O134" s="28"/>
      <c r="P134" s="28"/>
      <c r="Q134" s="28"/>
      <c r="R134" s="28">
        <v>15</v>
      </c>
      <c r="S134" s="28"/>
      <c r="T134" s="28"/>
      <c r="U134" s="28">
        <v>1</v>
      </c>
      <c r="V134" s="28">
        <f t="shared" si="11"/>
        <v>15</v>
      </c>
      <c r="W134" s="39">
        <v>4.6500000000000004</v>
      </c>
      <c r="X134" s="31" t="s">
        <v>19</v>
      </c>
      <c r="Y134" s="39">
        <f t="shared" si="9"/>
        <v>3.45</v>
      </c>
    </row>
    <row r="135" spans="1:25" ht="15.95" customHeight="1" thickBot="1">
      <c r="A135" s="33" t="s">
        <v>21</v>
      </c>
      <c r="B135" s="33" t="s">
        <v>22</v>
      </c>
      <c r="C135" s="76"/>
      <c r="D135" s="76"/>
      <c r="E135" s="66"/>
      <c r="F135" s="28"/>
      <c r="G135" s="37" t="s">
        <v>182</v>
      </c>
      <c r="H135" s="38" t="s">
        <v>20</v>
      </c>
      <c r="I135" s="33" t="s">
        <v>185</v>
      </c>
      <c r="J135" s="33" t="s">
        <v>41</v>
      </c>
      <c r="K135" s="32" t="s">
        <v>266</v>
      </c>
      <c r="L135" s="28"/>
      <c r="M135" s="28"/>
      <c r="N135" s="28"/>
      <c r="O135" s="28"/>
      <c r="P135" s="28"/>
      <c r="Q135" s="28"/>
      <c r="R135" s="28">
        <v>15</v>
      </c>
      <c r="S135" s="28"/>
      <c r="T135" s="28"/>
      <c r="U135" s="28">
        <v>1</v>
      </c>
      <c r="V135" s="28">
        <f t="shared" si="11"/>
        <v>15</v>
      </c>
      <c r="W135" s="39">
        <v>4.6500000000000004</v>
      </c>
      <c r="X135" s="31" t="s">
        <v>19</v>
      </c>
      <c r="Y135" s="39">
        <f t="shared" si="9"/>
        <v>3.45</v>
      </c>
    </row>
    <row r="136" spans="1:25" ht="15.95" customHeight="1" thickBot="1">
      <c r="A136" s="33" t="s">
        <v>21</v>
      </c>
      <c r="B136" s="33" t="s">
        <v>22</v>
      </c>
      <c r="C136" s="76"/>
      <c r="D136" s="76"/>
      <c r="E136" s="66"/>
      <c r="F136" s="28"/>
      <c r="G136" s="37" t="s">
        <v>182</v>
      </c>
      <c r="H136" s="38" t="s">
        <v>20</v>
      </c>
      <c r="I136" s="33" t="s">
        <v>186</v>
      </c>
      <c r="J136" s="33" t="s">
        <v>41</v>
      </c>
      <c r="K136" s="32" t="s">
        <v>266</v>
      </c>
      <c r="L136" s="28"/>
      <c r="M136" s="28"/>
      <c r="N136" s="28"/>
      <c r="O136" s="28"/>
      <c r="P136" s="28"/>
      <c r="Q136" s="28"/>
      <c r="R136" s="28">
        <v>5</v>
      </c>
      <c r="S136" s="28"/>
      <c r="T136" s="28"/>
      <c r="U136" s="28">
        <v>1</v>
      </c>
      <c r="V136" s="28">
        <f t="shared" si="11"/>
        <v>5</v>
      </c>
      <c r="W136" s="39">
        <v>2.0499999999999998</v>
      </c>
      <c r="X136" s="31" t="s">
        <v>24</v>
      </c>
      <c r="Y136" s="39">
        <f>W136-0.9</f>
        <v>1.1499999999999999</v>
      </c>
    </row>
    <row r="137" spans="1:25" ht="15.95" customHeight="1" thickBot="1">
      <c r="A137" s="33" t="s">
        <v>21</v>
      </c>
      <c r="B137" s="33" t="s">
        <v>22</v>
      </c>
      <c r="C137" s="76"/>
      <c r="D137" s="76"/>
      <c r="E137" s="66"/>
      <c r="F137" s="28"/>
      <c r="G137" s="37" t="s">
        <v>187</v>
      </c>
      <c r="H137" s="38" t="s">
        <v>20</v>
      </c>
      <c r="I137" s="33" t="s">
        <v>188</v>
      </c>
      <c r="J137" s="33" t="s">
        <v>41</v>
      </c>
      <c r="K137" s="32" t="s">
        <v>267</v>
      </c>
      <c r="L137" s="28"/>
      <c r="M137" s="28"/>
      <c r="N137" s="28">
        <v>20</v>
      </c>
      <c r="O137" s="28"/>
      <c r="P137" s="28"/>
      <c r="Q137" s="28"/>
      <c r="R137" s="28"/>
      <c r="S137" s="28"/>
      <c r="T137" s="28"/>
      <c r="U137" s="28">
        <v>1</v>
      </c>
      <c r="V137" s="28">
        <f t="shared" si="11"/>
        <v>20</v>
      </c>
      <c r="W137" s="39">
        <v>5</v>
      </c>
      <c r="X137" s="31" t="s">
        <v>19</v>
      </c>
      <c r="Y137" s="39">
        <f t="shared" si="9"/>
        <v>3.8</v>
      </c>
    </row>
    <row r="138" spans="1:25" ht="15.95" customHeight="1" thickBot="1">
      <c r="A138" s="33" t="s">
        <v>21</v>
      </c>
      <c r="B138" s="33" t="s">
        <v>22</v>
      </c>
      <c r="C138" s="76"/>
      <c r="D138" s="76"/>
      <c r="E138" s="66"/>
      <c r="F138" s="28"/>
      <c r="G138" s="37" t="s">
        <v>187</v>
      </c>
      <c r="H138" s="38" t="s">
        <v>20</v>
      </c>
      <c r="I138" s="33" t="s">
        <v>189</v>
      </c>
      <c r="J138" s="33" t="s">
        <v>41</v>
      </c>
      <c r="K138" s="32" t="s">
        <v>267</v>
      </c>
      <c r="L138" s="28"/>
      <c r="M138" s="28"/>
      <c r="N138" s="28">
        <v>20</v>
      </c>
      <c r="O138" s="28"/>
      <c r="P138" s="28"/>
      <c r="Q138" s="28"/>
      <c r="R138" s="28"/>
      <c r="S138" s="28"/>
      <c r="T138" s="28"/>
      <c r="U138" s="28">
        <v>1</v>
      </c>
      <c r="V138" s="28">
        <f t="shared" ref="V138:V146" si="12">SUM(L138:T138)</f>
        <v>20</v>
      </c>
      <c r="W138" s="39">
        <v>5</v>
      </c>
      <c r="X138" s="31" t="s">
        <v>19</v>
      </c>
      <c r="Y138" s="39">
        <f t="shared" si="9"/>
        <v>3.8</v>
      </c>
    </row>
    <row r="139" spans="1:25" ht="15.95" customHeight="1" thickBot="1">
      <c r="A139" s="33" t="s">
        <v>21</v>
      </c>
      <c r="B139" s="33" t="s">
        <v>22</v>
      </c>
      <c r="C139" s="76"/>
      <c r="D139" s="76"/>
      <c r="E139" s="66"/>
      <c r="F139" s="28"/>
      <c r="G139" s="37" t="s">
        <v>187</v>
      </c>
      <c r="H139" s="38" t="s">
        <v>20</v>
      </c>
      <c r="I139" s="33" t="s">
        <v>190</v>
      </c>
      <c r="J139" s="33" t="s">
        <v>41</v>
      </c>
      <c r="K139" s="32" t="s">
        <v>267</v>
      </c>
      <c r="L139" s="28"/>
      <c r="M139" s="28"/>
      <c r="N139" s="28">
        <v>10</v>
      </c>
      <c r="O139" s="28"/>
      <c r="P139" s="28"/>
      <c r="Q139" s="28"/>
      <c r="R139" s="28"/>
      <c r="S139" s="28"/>
      <c r="T139" s="28"/>
      <c r="U139" s="28">
        <v>1</v>
      </c>
      <c r="V139" s="28">
        <f t="shared" si="12"/>
        <v>10</v>
      </c>
      <c r="W139" s="39">
        <v>3</v>
      </c>
      <c r="X139" s="31" t="s">
        <v>23</v>
      </c>
      <c r="Y139" s="39">
        <f>W139-1.1</f>
        <v>1.9</v>
      </c>
    </row>
    <row r="140" spans="1:25" ht="15.95" customHeight="1" thickBot="1">
      <c r="A140" s="33" t="s">
        <v>21</v>
      </c>
      <c r="B140" s="33" t="s">
        <v>22</v>
      </c>
      <c r="C140" s="76"/>
      <c r="D140" s="76"/>
      <c r="E140" s="66"/>
      <c r="F140" s="28"/>
      <c r="G140" s="37" t="s">
        <v>191</v>
      </c>
      <c r="H140" s="38" t="s">
        <v>20</v>
      </c>
      <c r="I140" s="33" t="s">
        <v>192</v>
      </c>
      <c r="J140" s="33" t="s">
        <v>41</v>
      </c>
      <c r="K140" s="32" t="s">
        <v>267</v>
      </c>
      <c r="L140" s="28"/>
      <c r="M140" s="28"/>
      <c r="N140" s="28"/>
      <c r="O140" s="28">
        <v>20</v>
      </c>
      <c r="P140" s="28"/>
      <c r="Q140" s="28"/>
      <c r="R140" s="28"/>
      <c r="S140" s="28"/>
      <c r="T140" s="28"/>
      <c r="U140" s="28">
        <v>1</v>
      </c>
      <c r="V140" s="28">
        <f t="shared" si="12"/>
        <v>20</v>
      </c>
      <c r="W140" s="39">
        <v>5.4</v>
      </c>
      <c r="X140" s="31" t="s">
        <v>19</v>
      </c>
      <c r="Y140" s="39">
        <f t="shared" si="9"/>
        <v>4.2</v>
      </c>
    </row>
    <row r="141" spans="1:25" ht="15.95" customHeight="1" thickBot="1">
      <c r="A141" s="33" t="s">
        <v>21</v>
      </c>
      <c r="B141" s="33" t="s">
        <v>22</v>
      </c>
      <c r="C141" s="76"/>
      <c r="D141" s="76"/>
      <c r="E141" s="66"/>
      <c r="F141" s="28"/>
      <c r="G141" s="37" t="s">
        <v>191</v>
      </c>
      <c r="H141" s="38" t="s">
        <v>20</v>
      </c>
      <c r="I141" s="33" t="s">
        <v>193</v>
      </c>
      <c r="J141" s="33" t="s">
        <v>41</v>
      </c>
      <c r="K141" s="32" t="s">
        <v>267</v>
      </c>
      <c r="L141" s="28"/>
      <c r="M141" s="28"/>
      <c r="N141" s="28"/>
      <c r="O141" s="28">
        <v>20</v>
      </c>
      <c r="P141" s="28"/>
      <c r="Q141" s="28"/>
      <c r="R141" s="28"/>
      <c r="S141" s="28"/>
      <c r="T141" s="28"/>
      <c r="U141" s="28">
        <v>1</v>
      </c>
      <c r="V141" s="28">
        <f t="shared" si="12"/>
        <v>20</v>
      </c>
      <c r="W141" s="39">
        <v>5.4</v>
      </c>
      <c r="X141" s="31" t="s">
        <v>19</v>
      </c>
      <c r="Y141" s="39">
        <f t="shared" si="9"/>
        <v>4.2</v>
      </c>
    </row>
    <row r="142" spans="1:25" ht="15.95" customHeight="1" thickBot="1">
      <c r="A142" s="33" t="s">
        <v>21</v>
      </c>
      <c r="B142" s="33" t="s">
        <v>22</v>
      </c>
      <c r="C142" s="76"/>
      <c r="D142" s="76"/>
      <c r="E142" s="66"/>
      <c r="F142" s="28"/>
      <c r="G142" s="37" t="s">
        <v>191</v>
      </c>
      <c r="H142" s="38" t="s">
        <v>20</v>
      </c>
      <c r="I142" s="33" t="s">
        <v>194</v>
      </c>
      <c r="J142" s="33" t="s">
        <v>41</v>
      </c>
      <c r="K142" s="32" t="s">
        <v>267</v>
      </c>
      <c r="L142" s="28"/>
      <c r="M142" s="28"/>
      <c r="N142" s="28"/>
      <c r="O142" s="28">
        <v>20</v>
      </c>
      <c r="P142" s="28"/>
      <c r="Q142" s="28"/>
      <c r="R142" s="28"/>
      <c r="S142" s="28"/>
      <c r="T142" s="28"/>
      <c r="U142" s="28">
        <v>1</v>
      </c>
      <c r="V142" s="28">
        <f t="shared" si="12"/>
        <v>20</v>
      </c>
      <c r="W142" s="39">
        <v>5.4</v>
      </c>
      <c r="X142" s="31" t="s">
        <v>19</v>
      </c>
      <c r="Y142" s="39">
        <f t="shared" si="9"/>
        <v>4.2</v>
      </c>
    </row>
    <row r="143" spans="1:25" ht="15.95" customHeight="1" thickBot="1">
      <c r="A143" s="33" t="s">
        <v>21</v>
      </c>
      <c r="B143" s="33" t="s">
        <v>22</v>
      </c>
      <c r="C143" s="76"/>
      <c r="D143" s="76"/>
      <c r="E143" s="66"/>
      <c r="F143" s="28"/>
      <c r="G143" s="37" t="s">
        <v>191</v>
      </c>
      <c r="H143" s="38" t="s">
        <v>20</v>
      </c>
      <c r="I143" s="33" t="s">
        <v>195</v>
      </c>
      <c r="J143" s="33" t="s">
        <v>41</v>
      </c>
      <c r="K143" s="32" t="s">
        <v>267</v>
      </c>
      <c r="L143" s="28"/>
      <c r="M143" s="28"/>
      <c r="N143" s="28"/>
      <c r="O143" s="28">
        <v>15</v>
      </c>
      <c r="P143" s="28"/>
      <c r="Q143" s="28"/>
      <c r="R143" s="28"/>
      <c r="S143" s="28"/>
      <c r="T143" s="28"/>
      <c r="U143" s="28">
        <v>1</v>
      </c>
      <c r="V143" s="28">
        <f t="shared" si="12"/>
        <v>15</v>
      </c>
      <c r="W143" s="39">
        <v>4.25</v>
      </c>
      <c r="X143" s="31" t="s">
        <v>23</v>
      </c>
      <c r="Y143" s="39">
        <f>W143-1.1</f>
        <v>3.15</v>
      </c>
    </row>
    <row r="144" spans="1:25" ht="15.95" customHeight="1" thickBot="1">
      <c r="A144" s="33" t="s">
        <v>21</v>
      </c>
      <c r="B144" s="33" t="s">
        <v>22</v>
      </c>
      <c r="C144" s="76"/>
      <c r="D144" s="76"/>
      <c r="E144" s="66"/>
      <c r="F144" s="28"/>
      <c r="G144" s="37" t="s">
        <v>196</v>
      </c>
      <c r="H144" s="38" t="s">
        <v>20</v>
      </c>
      <c r="I144" s="33" t="s">
        <v>197</v>
      </c>
      <c r="J144" s="33" t="s">
        <v>41</v>
      </c>
      <c r="K144" s="32" t="s">
        <v>267</v>
      </c>
      <c r="L144" s="28"/>
      <c r="M144" s="28"/>
      <c r="N144" s="28"/>
      <c r="O144" s="28"/>
      <c r="P144" s="28">
        <v>15</v>
      </c>
      <c r="Q144" s="28"/>
      <c r="R144" s="28"/>
      <c r="S144" s="28"/>
      <c r="T144" s="28"/>
      <c r="U144" s="28">
        <v>1</v>
      </c>
      <c r="V144" s="28">
        <f t="shared" si="12"/>
        <v>15</v>
      </c>
      <c r="W144" s="39">
        <v>4.5</v>
      </c>
      <c r="X144" s="31" t="s">
        <v>19</v>
      </c>
      <c r="Y144" s="39">
        <f t="shared" si="9"/>
        <v>3.3</v>
      </c>
    </row>
    <row r="145" spans="1:25" ht="15.95" customHeight="1" thickBot="1">
      <c r="A145" s="33" t="s">
        <v>21</v>
      </c>
      <c r="B145" s="33" t="s">
        <v>22</v>
      </c>
      <c r="C145" s="76"/>
      <c r="D145" s="76"/>
      <c r="E145" s="66"/>
      <c r="F145" s="28"/>
      <c r="G145" s="37" t="s">
        <v>196</v>
      </c>
      <c r="H145" s="38" t="s">
        <v>20</v>
      </c>
      <c r="I145" s="33" t="s">
        <v>198</v>
      </c>
      <c r="J145" s="33" t="s">
        <v>41</v>
      </c>
      <c r="K145" s="32" t="s">
        <v>267</v>
      </c>
      <c r="L145" s="28"/>
      <c r="M145" s="28"/>
      <c r="N145" s="28"/>
      <c r="O145" s="28"/>
      <c r="P145" s="28">
        <v>15</v>
      </c>
      <c r="Q145" s="28"/>
      <c r="R145" s="28"/>
      <c r="S145" s="28"/>
      <c r="T145" s="28"/>
      <c r="U145" s="28">
        <v>1</v>
      </c>
      <c r="V145" s="28">
        <f t="shared" si="12"/>
        <v>15</v>
      </c>
      <c r="W145" s="39">
        <v>4.5</v>
      </c>
      <c r="X145" s="31" t="s">
        <v>19</v>
      </c>
      <c r="Y145" s="39">
        <f t="shared" si="9"/>
        <v>3.3</v>
      </c>
    </row>
    <row r="146" spans="1:25" ht="15.95" customHeight="1" thickBot="1">
      <c r="A146" s="33" t="s">
        <v>21</v>
      </c>
      <c r="B146" s="33" t="s">
        <v>22</v>
      </c>
      <c r="C146" s="76"/>
      <c r="D146" s="76"/>
      <c r="E146" s="66"/>
      <c r="F146" s="28"/>
      <c r="G146" s="37" t="s">
        <v>196</v>
      </c>
      <c r="H146" s="38" t="s">
        <v>20</v>
      </c>
      <c r="I146" s="33" t="s">
        <v>199</v>
      </c>
      <c r="J146" s="33" t="s">
        <v>41</v>
      </c>
      <c r="K146" s="32" t="s">
        <v>267</v>
      </c>
      <c r="L146" s="28"/>
      <c r="M146" s="28"/>
      <c r="N146" s="28"/>
      <c r="O146" s="28"/>
      <c r="P146" s="28">
        <v>15</v>
      </c>
      <c r="Q146" s="28"/>
      <c r="R146" s="28"/>
      <c r="S146" s="28"/>
      <c r="T146" s="28"/>
      <c r="U146" s="28">
        <v>1</v>
      </c>
      <c r="V146" s="28">
        <f t="shared" si="12"/>
        <v>15</v>
      </c>
      <c r="W146" s="39">
        <v>4.5</v>
      </c>
      <c r="X146" s="31" t="s">
        <v>19</v>
      </c>
      <c r="Y146" s="39">
        <f t="shared" si="9"/>
        <v>3.3</v>
      </c>
    </row>
    <row r="147" spans="1:25" ht="15.95" customHeight="1" thickBot="1">
      <c r="A147" s="33" t="s">
        <v>21</v>
      </c>
      <c r="B147" s="33" t="s">
        <v>22</v>
      </c>
      <c r="C147" s="76"/>
      <c r="D147" s="76"/>
      <c r="E147" s="66"/>
      <c r="F147" s="28"/>
      <c r="G147" s="37" t="s">
        <v>196</v>
      </c>
      <c r="H147" s="38" t="s">
        <v>20</v>
      </c>
      <c r="I147" s="33" t="s">
        <v>200</v>
      </c>
      <c r="J147" s="33" t="s">
        <v>41</v>
      </c>
      <c r="K147" s="32" t="s">
        <v>267</v>
      </c>
      <c r="L147" s="28"/>
      <c r="M147" s="28"/>
      <c r="N147" s="28"/>
      <c r="O147" s="28"/>
      <c r="P147" s="28">
        <v>15</v>
      </c>
      <c r="Q147" s="28"/>
      <c r="R147" s="28"/>
      <c r="S147" s="28"/>
      <c r="T147" s="28"/>
      <c r="U147" s="28">
        <v>1</v>
      </c>
      <c r="V147" s="28">
        <f t="shared" ref="V147:V152" si="13">SUM(L147:T147)</f>
        <v>15</v>
      </c>
      <c r="W147" s="39">
        <v>4.5</v>
      </c>
      <c r="X147" s="31" t="s">
        <v>19</v>
      </c>
      <c r="Y147" s="39">
        <f t="shared" si="9"/>
        <v>3.3</v>
      </c>
    </row>
    <row r="148" spans="1:25" ht="15.95" customHeight="1" thickBot="1">
      <c r="A148" s="33" t="s">
        <v>21</v>
      </c>
      <c r="B148" s="33" t="s">
        <v>22</v>
      </c>
      <c r="C148" s="76"/>
      <c r="D148" s="76"/>
      <c r="E148" s="66"/>
      <c r="F148" s="28"/>
      <c r="G148" s="37" t="s">
        <v>196</v>
      </c>
      <c r="H148" s="38" t="s">
        <v>20</v>
      </c>
      <c r="I148" s="33" t="s">
        <v>201</v>
      </c>
      <c r="J148" s="33" t="s">
        <v>41</v>
      </c>
      <c r="K148" s="32" t="s">
        <v>267</v>
      </c>
      <c r="L148" s="28"/>
      <c r="M148" s="28"/>
      <c r="N148" s="28"/>
      <c r="O148" s="28"/>
      <c r="P148" s="28">
        <v>15</v>
      </c>
      <c r="Q148" s="28"/>
      <c r="R148" s="28"/>
      <c r="S148" s="28"/>
      <c r="T148" s="28"/>
      <c r="U148" s="28">
        <v>1</v>
      </c>
      <c r="V148" s="28">
        <f t="shared" si="13"/>
        <v>15</v>
      </c>
      <c r="W148" s="39">
        <v>4.5</v>
      </c>
      <c r="X148" s="31" t="s">
        <v>19</v>
      </c>
      <c r="Y148" s="39">
        <f t="shared" si="9"/>
        <v>3.3</v>
      </c>
    </row>
    <row r="149" spans="1:25" ht="15.95" customHeight="1" thickBot="1">
      <c r="A149" s="33" t="s">
        <v>21</v>
      </c>
      <c r="B149" s="33" t="s">
        <v>22</v>
      </c>
      <c r="C149" s="76"/>
      <c r="D149" s="76"/>
      <c r="E149" s="66"/>
      <c r="F149" s="28"/>
      <c r="G149" s="37" t="s">
        <v>202</v>
      </c>
      <c r="H149" s="38" t="s">
        <v>20</v>
      </c>
      <c r="I149" s="33" t="s">
        <v>203</v>
      </c>
      <c r="J149" s="33" t="s">
        <v>41</v>
      </c>
      <c r="K149" s="32" t="s">
        <v>267</v>
      </c>
      <c r="L149" s="28"/>
      <c r="M149" s="28"/>
      <c r="N149" s="28"/>
      <c r="O149" s="28"/>
      <c r="P149" s="28"/>
      <c r="Q149" s="28">
        <v>15</v>
      </c>
      <c r="R149" s="28"/>
      <c r="S149" s="28"/>
      <c r="T149" s="28"/>
      <c r="U149" s="28">
        <v>1</v>
      </c>
      <c r="V149" s="28">
        <f t="shared" si="13"/>
        <v>15</v>
      </c>
      <c r="W149" s="39">
        <v>4.8</v>
      </c>
      <c r="X149" s="31" t="s">
        <v>19</v>
      </c>
      <c r="Y149" s="39">
        <f t="shared" si="9"/>
        <v>3.5999999999999996</v>
      </c>
    </row>
    <row r="150" spans="1:25" ht="15.95" customHeight="1" thickBot="1">
      <c r="A150" s="33" t="s">
        <v>21</v>
      </c>
      <c r="B150" s="33" t="s">
        <v>22</v>
      </c>
      <c r="C150" s="76"/>
      <c r="D150" s="76"/>
      <c r="E150" s="66"/>
      <c r="F150" s="28"/>
      <c r="G150" s="37" t="s">
        <v>202</v>
      </c>
      <c r="H150" s="38" t="s">
        <v>20</v>
      </c>
      <c r="I150" s="33" t="s">
        <v>204</v>
      </c>
      <c r="J150" s="33" t="s">
        <v>41</v>
      </c>
      <c r="K150" s="32" t="s">
        <v>267</v>
      </c>
      <c r="L150" s="28"/>
      <c r="M150" s="28"/>
      <c r="N150" s="28"/>
      <c r="O150" s="28"/>
      <c r="P150" s="28"/>
      <c r="Q150" s="28">
        <v>15</v>
      </c>
      <c r="R150" s="28"/>
      <c r="S150" s="28"/>
      <c r="T150" s="28"/>
      <c r="U150" s="28">
        <v>1</v>
      </c>
      <c r="V150" s="28">
        <f t="shared" si="13"/>
        <v>15</v>
      </c>
      <c r="W150" s="39">
        <v>4.8</v>
      </c>
      <c r="X150" s="31" t="s">
        <v>19</v>
      </c>
      <c r="Y150" s="39">
        <f t="shared" si="9"/>
        <v>3.5999999999999996</v>
      </c>
    </row>
    <row r="151" spans="1:25" ht="15.95" customHeight="1" thickBot="1">
      <c r="A151" s="33" t="s">
        <v>21</v>
      </c>
      <c r="B151" s="33" t="s">
        <v>22</v>
      </c>
      <c r="C151" s="76"/>
      <c r="D151" s="76"/>
      <c r="E151" s="66"/>
      <c r="F151" s="28"/>
      <c r="G151" s="37" t="s">
        <v>202</v>
      </c>
      <c r="H151" s="38" t="s">
        <v>20</v>
      </c>
      <c r="I151" s="33" t="s">
        <v>205</v>
      </c>
      <c r="J151" s="33" t="s">
        <v>41</v>
      </c>
      <c r="K151" s="32" t="s">
        <v>267</v>
      </c>
      <c r="L151" s="28"/>
      <c r="M151" s="28"/>
      <c r="N151" s="28"/>
      <c r="O151" s="28"/>
      <c r="P151" s="28"/>
      <c r="Q151" s="28">
        <v>15</v>
      </c>
      <c r="R151" s="28"/>
      <c r="S151" s="28"/>
      <c r="T151" s="28"/>
      <c r="U151" s="28">
        <v>1</v>
      </c>
      <c r="V151" s="28">
        <f t="shared" si="13"/>
        <v>15</v>
      </c>
      <c r="W151" s="39">
        <v>4.8</v>
      </c>
      <c r="X151" s="31" t="s">
        <v>19</v>
      </c>
      <c r="Y151" s="39">
        <f t="shared" si="9"/>
        <v>3.5999999999999996</v>
      </c>
    </row>
    <row r="152" spans="1:25" ht="15.95" customHeight="1" thickBot="1">
      <c r="A152" s="33" t="s">
        <v>21</v>
      </c>
      <c r="B152" s="33" t="s">
        <v>22</v>
      </c>
      <c r="C152" s="76"/>
      <c r="D152" s="76"/>
      <c r="E152" s="66"/>
      <c r="F152" s="28"/>
      <c r="G152" s="37" t="s">
        <v>202</v>
      </c>
      <c r="H152" s="38" t="s">
        <v>20</v>
      </c>
      <c r="I152" s="33" t="s">
        <v>206</v>
      </c>
      <c r="J152" s="33" t="s">
        <v>41</v>
      </c>
      <c r="K152" s="32" t="s">
        <v>267</v>
      </c>
      <c r="L152" s="28"/>
      <c r="M152" s="28"/>
      <c r="N152" s="28"/>
      <c r="O152" s="28"/>
      <c r="P152" s="28"/>
      <c r="Q152" s="28">
        <v>5</v>
      </c>
      <c r="R152" s="28"/>
      <c r="S152" s="28"/>
      <c r="T152" s="28"/>
      <c r="U152" s="28">
        <v>1</v>
      </c>
      <c r="V152" s="28">
        <f t="shared" si="13"/>
        <v>5</v>
      </c>
      <c r="W152" s="39">
        <v>2.1</v>
      </c>
      <c r="X152" s="31" t="s">
        <v>24</v>
      </c>
      <c r="Y152" s="39">
        <f>W152-0.9</f>
        <v>1.2000000000000002</v>
      </c>
    </row>
    <row r="153" spans="1:25" ht="22.5" customHeight="1" thickBot="1">
      <c r="A153" s="68" t="s">
        <v>207</v>
      </c>
      <c r="B153" s="69"/>
      <c r="C153" s="69"/>
      <c r="D153" s="69"/>
      <c r="E153" s="69"/>
      <c r="F153" s="69"/>
      <c r="G153" s="69"/>
      <c r="H153" s="70"/>
      <c r="I153" s="57">
        <f>U153</f>
        <v>130</v>
      </c>
      <c r="J153" s="57"/>
      <c r="K153" s="57"/>
      <c r="L153" s="57">
        <f>SUM(L23:L152)</f>
        <v>0</v>
      </c>
      <c r="M153" s="57">
        <f>SUM(M23:M152)</f>
        <v>0</v>
      </c>
      <c r="N153" s="57">
        <f>SUM(N23:N152)</f>
        <v>180</v>
      </c>
      <c r="O153" s="57">
        <f>SUM(O23:O152)</f>
        <v>380</v>
      </c>
      <c r="P153" s="57">
        <f>SUM(P23:P152)</f>
        <v>790</v>
      </c>
      <c r="Q153" s="57">
        <f t="shared" ref="Q153:V153" si="14">SUM(Q23:Q152)</f>
        <v>530</v>
      </c>
      <c r="R153" s="57">
        <f t="shared" si="14"/>
        <v>440</v>
      </c>
      <c r="S153" s="57">
        <f t="shared" si="14"/>
        <v>120</v>
      </c>
      <c r="T153" s="57">
        <f t="shared" si="14"/>
        <v>60</v>
      </c>
      <c r="U153" s="57">
        <f t="shared" si="14"/>
        <v>130</v>
      </c>
      <c r="V153" s="57">
        <f t="shared" si="14"/>
        <v>2500</v>
      </c>
      <c r="W153" s="58">
        <f>SUM(W23:W152)</f>
        <v>626.64999999999986</v>
      </c>
      <c r="X153" s="59">
        <v>11.388</v>
      </c>
      <c r="Y153" s="58">
        <f>SUM(Y23:Y152)</f>
        <v>475.0499999999999</v>
      </c>
    </row>
    <row r="154" spans="1:25" ht="17.25" customHeight="1" thickBot="1">
      <c r="A154" s="33" t="s">
        <v>211</v>
      </c>
      <c r="B154" s="33" t="s">
        <v>212</v>
      </c>
      <c r="C154" s="76" t="s">
        <v>260</v>
      </c>
      <c r="D154" s="76" t="s">
        <v>259</v>
      </c>
      <c r="E154" s="66">
        <v>62121010</v>
      </c>
      <c r="F154" s="28"/>
      <c r="G154" s="37" t="s">
        <v>213</v>
      </c>
      <c r="H154" s="38" t="s">
        <v>20</v>
      </c>
      <c r="I154" s="33" t="s">
        <v>40</v>
      </c>
      <c r="J154" s="33" t="s">
        <v>41</v>
      </c>
      <c r="K154" s="32" t="s">
        <v>268</v>
      </c>
      <c r="L154" s="28"/>
      <c r="M154" s="28"/>
      <c r="N154" s="28"/>
      <c r="O154" s="28"/>
      <c r="P154" s="28"/>
      <c r="Q154" s="28">
        <v>30</v>
      </c>
      <c r="R154" s="28"/>
      <c r="S154" s="28"/>
      <c r="T154" s="28"/>
      <c r="U154" s="28">
        <v>1</v>
      </c>
      <c r="V154" s="28">
        <f t="shared" ref="V154:V185" si="15">SUM(L154:T154)</f>
        <v>30</v>
      </c>
      <c r="W154" s="39">
        <v>6</v>
      </c>
      <c r="X154" s="31" t="s">
        <v>19</v>
      </c>
      <c r="Y154" s="39">
        <f>W154-1.2</f>
        <v>4.8</v>
      </c>
    </row>
    <row r="155" spans="1:25" ht="17.25" customHeight="1" thickBot="1">
      <c r="A155" s="33" t="s">
        <v>211</v>
      </c>
      <c r="B155" s="33" t="s">
        <v>212</v>
      </c>
      <c r="C155" s="76"/>
      <c r="D155" s="76"/>
      <c r="E155" s="66"/>
      <c r="F155" s="28"/>
      <c r="G155" s="37" t="s">
        <v>213</v>
      </c>
      <c r="H155" s="38" t="s">
        <v>20</v>
      </c>
      <c r="I155" s="33" t="s">
        <v>43</v>
      </c>
      <c r="J155" s="33" t="s">
        <v>41</v>
      </c>
      <c r="K155" s="32" t="s">
        <v>268</v>
      </c>
      <c r="L155" s="28"/>
      <c r="M155" s="28"/>
      <c r="N155" s="28"/>
      <c r="O155" s="28"/>
      <c r="P155" s="28"/>
      <c r="Q155" s="28">
        <v>30</v>
      </c>
      <c r="R155" s="28"/>
      <c r="S155" s="28"/>
      <c r="T155" s="28"/>
      <c r="U155" s="28">
        <v>1</v>
      </c>
      <c r="V155" s="28">
        <f t="shared" si="15"/>
        <v>30</v>
      </c>
      <c r="W155" s="39">
        <v>6</v>
      </c>
      <c r="X155" s="31" t="s">
        <v>19</v>
      </c>
      <c r="Y155" s="39">
        <f>W155-1.2</f>
        <v>4.8</v>
      </c>
    </row>
    <row r="156" spans="1:25" ht="17.25" customHeight="1" thickBot="1">
      <c r="A156" s="33" t="s">
        <v>211</v>
      </c>
      <c r="B156" s="33" t="s">
        <v>212</v>
      </c>
      <c r="C156" s="76"/>
      <c r="D156" s="76"/>
      <c r="E156" s="66"/>
      <c r="F156" s="28"/>
      <c r="G156" s="37" t="s">
        <v>213</v>
      </c>
      <c r="H156" s="38" t="s">
        <v>20</v>
      </c>
      <c r="I156" s="33" t="s">
        <v>44</v>
      </c>
      <c r="J156" s="33" t="s">
        <v>41</v>
      </c>
      <c r="K156" s="32" t="s">
        <v>268</v>
      </c>
      <c r="L156" s="28"/>
      <c r="M156" s="28"/>
      <c r="N156" s="28"/>
      <c r="O156" s="28"/>
      <c r="P156" s="28"/>
      <c r="Q156" s="28">
        <v>5</v>
      </c>
      <c r="R156" s="28"/>
      <c r="S156" s="28"/>
      <c r="T156" s="28"/>
      <c r="U156" s="28">
        <v>1</v>
      </c>
      <c r="V156" s="28">
        <f t="shared" si="15"/>
        <v>5</v>
      </c>
      <c r="W156" s="39">
        <v>1.7</v>
      </c>
      <c r="X156" s="31" t="s">
        <v>24</v>
      </c>
      <c r="Y156" s="39">
        <f>W156-0.9</f>
        <v>0.79999999999999993</v>
      </c>
    </row>
    <row r="157" spans="1:25" ht="17.25" customHeight="1" thickBot="1">
      <c r="A157" s="33" t="s">
        <v>211</v>
      </c>
      <c r="B157" s="33" t="s">
        <v>212</v>
      </c>
      <c r="C157" s="76"/>
      <c r="D157" s="76"/>
      <c r="E157" s="66"/>
      <c r="F157" s="28"/>
      <c r="G157" s="37" t="s">
        <v>214</v>
      </c>
      <c r="H157" s="38" t="s">
        <v>20</v>
      </c>
      <c r="I157" s="33" t="s">
        <v>46</v>
      </c>
      <c r="J157" s="33" t="s">
        <v>41</v>
      </c>
      <c r="K157" s="32" t="s">
        <v>268</v>
      </c>
      <c r="L157" s="28"/>
      <c r="M157" s="28"/>
      <c r="N157" s="28"/>
      <c r="O157" s="28"/>
      <c r="P157" s="28"/>
      <c r="Q157" s="28"/>
      <c r="R157" s="28">
        <v>30</v>
      </c>
      <c r="S157" s="28"/>
      <c r="T157" s="28"/>
      <c r="U157" s="28">
        <v>1</v>
      </c>
      <c r="V157" s="28">
        <f t="shared" si="15"/>
        <v>30</v>
      </c>
      <c r="W157" s="39">
        <v>6.3</v>
      </c>
      <c r="X157" s="31" t="s">
        <v>19</v>
      </c>
      <c r="Y157" s="39">
        <f>W157-1.2</f>
        <v>5.0999999999999996</v>
      </c>
    </row>
    <row r="158" spans="1:25" ht="17.25" customHeight="1" thickBot="1">
      <c r="A158" s="33" t="s">
        <v>211</v>
      </c>
      <c r="B158" s="33" t="s">
        <v>212</v>
      </c>
      <c r="C158" s="76"/>
      <c r="D158" s="76"/>
      <c r="E158" s="66"/>
      <c r="F158" s="28"/>
      <c r="G158" s="37" t="s">
        <v>214</v>
      </c>
      <c r="H158" s="38" t="s">
        <v>20</v>
      </c>
      <c r="I158" s="33" t="s">
        <v>48</v>
      </c>
      <c r="J158" s="33" t="s">
        <v>41</v>
      </c>
      <c r="K158" s="32" t="s">
        <v>268</v>
      </c>
      <c r="L158" s="28"/>
      <c r="M158" s="28"/>
      <c r="N158" s="28"/>
      <c r="O158" s="28"/>
      <c r="P158" s="28"/>
      <c r="Q158" s="28"/>
      <c r="R158" s="28">
        <v>30</v>
      </c>
      <c r="S158" s="28"/>
      <c r="T158" s="28"/>
      <c r="U158" s="28">
        <v>1</v>
      </c>
      <c r="V158" s="28">
        <f t="shared" si="15"/>
        <v>30</v>
      </c>
      <c r="W158" s="39">
        <v>6.3</v>
      </c>
      <c r="X158" s="31" t="s">
        <v>19</v>
      </c>
      <c r="Y158" s="39">
        <f>W158-1.2</f>
        <v>5.0999999999999996</v>
      </c>
    </row>
    <row r="159" spans="1:25" ht="17.25" customHeight="1" thickBot="1">
      <c r="A159" s="33" t="s">
        <v>211</v>
      </c>
      <c r="B159" s="33" t="s">
        <v>212</v>
      </c>
      <c r="C159" s="76"/>
      <c r="D159" s="76"/>
      <c r="E159" s="66"/>
      <c r="F159" s="28"/>
      <c r="G159" s="37" t="s">
        <v>214</v>
      </c>
      <c r="H159" s="38" t="s">
        <v>20</v>
      </c>
      <c r="I159" s="33" t="s">
        <v>50</v>
      </c>
      <c r="J159" s="33" t="s">
        <v>41</v>
      </c>
      <c r="K159" s="32" t="s">
        <v>268</v>
      </c>
      <c r="L159" s="28"/>
      <c r="M159" s="28"/>
      <c r="N159" s="28"/>
      <c r="O159" s="28"/>
      <c r="P159" s="28"/>
      <c r="Q159" s="28"/>
      <c r="R159" s="28">
        <v>10</v>
      </c>
      <c r="S159" s="28"/>
      <c r="T159" s="28"/>
      <c r="U159" s="28">
        <v>1</v>
      </c>
      <c r="V159" s="28">
        <f t="shared" si="15"/>
        <v>10</v>
      </c>
      <c r="W159" s="39">
        <v>2.6</v>
      </c>
      <c r="X159" s="31" t="s">
        <v>24</v>
      </c>
      <c r="Y159" s="39">
        <f>W159-0.9</f>
        <v>1.7000000000000002</v>
      </c>
    </row>
    <row r="160" spans="1:25" ht="17.25" customHeight="1" thickBot="1">
      <c r="A160" s="33" t="s">
        <v>211</v>
      </c>
      <c r="B160" s="33" t="s">
        <v>212</v>
      </c>
      <c r="C160" s="76"/>
      <c r="D160" s="76"/>
      <c r="E160" s="66"/>
      <c r="F160" s="28"/>
      <c r="G160" s="37" t="s">
        <v>215</v>
      </c>
      <c r="H160" s="38" t="s">
        <v>20</v>
      </c>
      <c r="I160" s="33" t="s">
        <v>51</v>
      </c>
      <c r="J160" s="33" t="s">
        <v>41</v>
      </c>
      <c r="K160" s="32" t="s">
        <v>268</v>
      </c>
      <c r="L160" s="28"/>
      <c r="M160" s="28"/>
      <c r="N160" s="28"/>
      <c r="O160" s="28"/>
      <c r="P160" s="28"/>
      <c r="Q160" s="28"/>
      <c r="R160" s="28"/>
      <c r="S160" s="28">
        <v>20</v>
      </c>
      <c r="T160" s="28"/>
      <c r="U160" s="28">
        <v>1</v>
      </c>
      <c r="V160" s="28">
        <f t="shared" si="15"/>
        <v>20</v>
      </c>
      <c r="W160" s="39">
        <v>4.8</v>
      </c>
      <c r="X160" s="31" t="s">
        <v>19</v>
      </c>
      <c r="Y160" s="39">
        <f>W160-1.2</f>
        <v>3.5999999999999996</v>
      </c>
    </row>
    <row r="161" spans="1:25" ht="17.25" customHeight="1" thickBot="1">
      <c r="A161" s="33" t="s">
        <v>211</v>
      </c>
      <c r="B161" s="33" t="s">
        <v>212</v>
      </c>
      <c r="C161" s="76"/>
      <c r="D161" s="76"/>
      <c r="E161" s="66"/>
      <c r="F161" s="28"/>
      <c r="G161" s="37" t="s">
        <v>216</v>
      </c>
      <c r="H161" s="38" t="s">
        <v>20</v>
      </c>
      <c r="I161" s="33" t="s">
        <v>53</v>
      </c>
      <c r="J161" s="33" t="s">
        <v>41</v>
      </c>
      <c r="K161" s="32" t="s">
        <v>269</v>
      </c>
      <c r="L161" s="28"/>
      <c r="M161" s="28"/>
      <c r="N161" s="28"/>
      <c r="O161" s="28">
        <v>30</v>
      </c>
      <c r="P161" s="28"/>
      <c r="Q161" s="28"/>
      <c r="R161" s="28"/>
      <c r="S161" s="28"/>
      <c r="T161" s="28"/>
      <c r="U161" s="28">
        <v>1</v>
      </c>
      <c r="V161" s="28">
        <f t="shared" si="15"/>
        <v>30</v>
      </c>
      <c r="W161" s="39">
        <v>5.7</v>
      </c>
      <c r="X161" s="31" t="s">
        <v>19</v>
      </c>
      <c r="Y161" s="39">
        <f>W161-1.2</f>
        <v>4.5</v>
      </c>
    </row>
    <row r="162" spans="1:25" ht="17.25" customHeight="1" thickBot="1">
      <c r="A162" s="33" t="s">
        <v>211</v>
      </c>
      <c r="B162" s="33" t="s">
        <v>212</v>
      </c>
      <c r="C162" s="76"/>
      <c r="D162" s="76"/>
      <c r="E162" s="66"/>
      <c r="F162" s="28"/>
      <c r="G162" s="37" t="s">
        <v>216</v>
      </c>
      <c r="H162" s="38" t="s">
        <v>20</v>
      </c>
      <c r="I162" s="33" t="s">
        <v>54</v>
      </c>
      <c r="J162" s="33" t="s">
        <v>41</v>
      </c>
      <c r="K162" s="32" t="s">
        <v>269</v>
      </c>
      <c r="L162" s="28"/>
      <c r="M162" s="28"/>
      <c r="N162" s="28"/>
      <c r="O162" s="28">
        <v>30</v>
      </c>
      <c r="P162" s="28"/>
      <c r="Q162" s="28"/>
      <c r="R162" s="28"/>
      <c r="S162" s="28"/>
      <c r="T162" s="28"/>
      <c r="U162" s="28">
        <v>1</v>
      </c>
      <c r="V162" s="28">
        <f t="shared" si="15"/>
        <v>30</v>
      </c>
      <c r="W162" s="39">
        <v>5.7</v>
      </c>
      <c r="X162" s="31" t="s">
        <v>19</v>
      </c>
      <c r="Y162" s="39">
        <f>W162-1.2</f>
        <v>4.5</v>
      </c>
    </row>
    <row r="163" spans="1:25" ht="17.25" customHeight="1" thickBot="1">
      <c r="A163" s="33" t="s">
        <v>211</v>
      </c>
      <c r="B163" s="33" t="s">
        <v>212</v>
      </c>
      <c r="C163" s="76"/>
      <c r="D163" s="76"/>
      <c r="E163" s="66"/>
      <c r="F163" s="28"/>
      <c r="G163" s="37" t="s">
        <v>216</v>
      </c>
      <c r="H163" s="38" t="s">
        <v>20</v>
      </c>
      <c r="I163" s="33" t="s">
        <v>55</v>
      </c>
      <c r="J163" s="33" t="s">
        <v>41</v>
      </c>
      <c r="K163" s="32" t="s">
        <v>269</v>
      </c>
      <c r="L163" s="28"/>
      <c r="M163" s="28"/>
      <c r="N163" s="28"/>
      <c r="O163" s="28">
        <v>15</v>
      </c>
      <c r="P163" s="28"/>
      <c r="Q163" s="28"/>
      <c r="R163" s="28"/>
      <c r="S163" s="28"/>
      <c r="T163" s="28"/>
      <c r="U163" s="28">
        <v>1</v>
      </c>
      <c r="V163" s="28">
        <f t="shared" si="15"/>
        <v>15</v>
      </c>
      <c r="W163" s="39">
        <v>3.35</v>
      </c>
      <c r="X163" s="31" t="s">
        <v>23</v>
      </c>
      <c r="Y163" s="39">
        <f>W163-1.1</f>
        <v>2.25</v>
      </c>
    </row>
    <row r="164" spans="1:25" ht="17.25" customHeight="1" thickBot="1">
      <c r="A164" s="33" t="s">
        <v>211</v>
      </c>
      <c r="B164" s="33" t="s">
        <v>212</v>
      </c>
      <c r="C164" s="76"/>
      <c r="D164" s="76"/>
      <c r="E164" s="66"/>
      <c r="F164" s="28"/>
      <c r="G164" s="37" t="s">
        <v>217</v>
      </c>
      <c r="H164" s="38" t="s">
        <v>20</v>
      </c>
      <c r="I164" s="33" t="s">
        <v>57</v>
      </c>
      <c r="J164" s="33" t="s">
        <v>41</v>
      </c>
      <c r="K164" s="32" t="s">
        <v>269</v>
      </c>
      <c r="L164" s="28"/>
      <c r="M164" s="28"/>
      <c r="N164" s="28"/>
      <c r="O164" s="28"/>
      <c r="P164" s="28">
        <v>30</v>
      </c>
      <c r="Q164" s="28"/>
      <c r="R164" s="28"/>
      <c r="S164" s="28"/>
      <c r="T164" s="28"/>
      <c r="U164" s="28">
        <v>1</v>
      </c>
      <c r="V164" s="28">
        <f t="shared" si="15"/>
        <v>30</v>
      </c>
      <c r="W164" s="39">
        <v>6</v>
      </c>
      <c r="X164" s="31" t="s">
        <v>19</v>
      </c>
      <c r="Y164" s="39">
        <f>W164-1.2</f>
        <v>4.8</v>
      </c>
    </row>
    <row r="165" spans="1:25" ht="17.25" customHeight="1" thickBot="1">
      <c r="A165" s="33" t="s">
        <v>211</v>
      </c>
      <c r="B165" s="33" t="s">
        <v>212</v>
      </c>
      <c r="C165" s="76"/>
      <c r="D165" s="76"/>
      <c r="E165" s="66"/>
      <c r="F165" s="28"/>
      <c r="G165" s="37" t="s">
        <v>217</v>
      </c>
      <c r="H165" s="38" t="s">
        <v>20</v>
      </c>
      <c r="I165" s="33" t="s">
        <v>58</v>
      </c>
      <c r="J165" s="33" t="s">
        <v>41</v>
      </c>
      <c r="K165" s="32" t="s">
        <v>269</v>
      </c>
      <c r="L165" s="28"/>
      <c r="M165" s="28"/>
      <c r="N165" s="28"/>
      <c r="O165" s="28"/>
      <c r="P165" s="28">
        <v>30</v>
      </c>
      <c r="Q165" s="28"/>
      <c r="R165" s="28"/>
      <c r="S165" s="28"/>
      <c r="T165" s="28"/>
      <c r="U165" s="28">
        <v>1</v>
      </c>
      <c r="V165" s="28">
        <f t="shared" si="15"/>
        <v>30</v>
      </c>
      <c r="W165" s="39">
        <v>6</v>
      </c>
      <c r="X165" s="31" t="s">
        <v>19</v>
      </c>
      <c r="Y165" s="39">
        <f>W165-1.2</f>
        <v>4.8</v>
      </c>
    </row>
    <row r="166" spans="1:25" ht="17.25" customHeight="1" thickBot="1">
      <c r="A166" s="33" t="s">
        <v>211</v>
      </c>
      <c r="B166" s="33" t="s">
        <v>212</v>
      </c>
      <c r="C166" s="76"/>
      <c r="D166" s="76"/>
      <c r="E166" s="66"/>
      <c r="F166" s="28"/>
      <c r="G166" s="37" t="s">
        <v>217</v>
      </c>
      <c r="H166" s="38" t="s">
        <v>20</v>
      </c>
      <c r="I166" s="33" t="s">
        <v>59</v>
      </c>
      <c r="J166" s="33" t="s">
        <v>41</v>
      </c>
      <c r="K166" s="32" t="s">
        <v>269</v>
      </c>
      <c r="L166" s="28"/>
      <c r="M166" s="28"/>
      <c r="N166" s="28"/>
      <c r="O166" s="28"/>
      <c r="P166" s="28">
        <v>15</v>
      </c>
      <c r="Q166" s="28"/>
      <c r="R166" s="28"/>
      <c r="S166" s="28"/>
      <c r="T166" s="28"/>
      <c r="U166" s="28">
        <v>1</v>
      </c>
      <c r="V166" s="28">
        <f t="shared" si="15"/>
        <v>15</v>
      </c>
      <c r="W166" s="39">
        <v>3.5</v>
      </c>
      <c r="X166" s="31" t="s">
        <v>23</v>
      </c>
      <c r="Y166" s="39">
        <f>W166-1.1</f>
        <v>2.4</v>
      </c>
    </row>
    <row r="167" spans="1:25" ht="17.25" customHeight="1" thickBot="1">
      <c r="A167" s="33" t="s">
        <v>211</v>
      </c>
      <c r="B167" s="33" t="s">
        <v>212</v>
      </c>
      <c r="C167" s="76"/>
      <c r="D167" s="76"/>
      <c r="E167" s="66"/>
      <c r="F167" s="28"/>
      <c r="G167" s="37" t="s">
        <v>218</v>
      </c>
      <c r="H167" s="38" t="s">
        <v>20</v>
      </c>
      <c r="I167" s="33" t="s">
        <v>60</v>
      </c>
      <c r="J167" s="33" t="s">
        <v>41</v>
      </c>
      <c r="K167" s="32" t="s">
        <v>269</v>
      </c>
      <c r="L167" s="28"/>
      <c r="M167" s="28"/>
      <c r="N167" s="28"/>
      <c r="O167" s="28"/>
      <c r="P167" s="28"/>
      <c r="Q167" s="28">
        <v>30</v>
      </c>
      <c r="R167" s="28"/>
      <c r="S167" s="28"/>
      <c r="T167" s="28"/>
      <c r="U167" s="28">
        <v>1</v>
      </c>
      <c r="V167" s="28">
        <f t="shared" si="15"/>
        <v>30</v>
      </c>
      <c r="W167" s="39">
        <v>6.3</v>
      </c>
      <c r="X167" s="31" t="s">
        <v>19</v>
      </c>
      <c r="Y167" s="39">
        <f>W167-1.2</f>
        <v>5.0999999999999996</v>
      </c>
    </row>
    <row r="168" spans="1:25" ht="17.25" customHeight="1" thickBot="1">
      <c r="A168" s="33" t="s">
        <v>211</v>
      </c>
      <c r="B168" s="33" t="s">
        <v>212</v>
      </c>
      <c r="C168" s="76"/>
      <c r="D168" s="76"/>
      <c r="E168" s="66"/>
      <c r="F168" s="28"/>
      <c r="G168" s="37" t="s">
        <v>218</v>
      </c>
      <c r="H168" s="38" t="s">
        <v>20</v>
      </c>
      <c r="I168" s="33" t="s">
        <v>62</v>
      </c>
      <c r="J168" s="33" t="s">
        <v>41</v>
      </c>
      <c r="K168" s="32" t="s">
        <v>269</v>
      </c>
      <c r="L168" s="28"/>
      <c r="M168" s="28"/>
      <c r="N168" s="28"/>
      <c r="O168" s="28"/>
      <c r="P168" s="28"/>
      <c r="Q168" s="28">
        <v>30</v>
      </c>
      <c r="R168" s="28"/>
      <c r="S168" s="28"/>
      <c r="T168" s="28"/>
      <c r="U168" s="28">
        <v>1</v>
      </c>
      <c r="V168" s="28">
        <f t="shared" si="15"/>
        <v>30</v>
      </c>
      <c r="W168" s="39">
        <v>6.3</v>
      </c>
      <c r="X168" s="31" t="s">
        <v>19</v>
      </c>
      <c r="Y168" s="39">
        <f>W168-1.2</f>
        <v>5.0999999999999996</v>
      </c>
    </row>
    <row r="169" spans="1:25" ht="17.25" customHeight="1" thickBot="1">
      <c r="A169" s="33" t="s">
        <v>211</v>
      </c>
      <c r="B169" s="33" t="s">
        <v>212</v>
      </c>
      <c r="C169" s="76"/>
      <c r="D169" s="76"/>
      <c r="E169" s="66"/>
      <c r="F169" s="28"/>
      <c r="G169" s="37" t="s">
        <v>218</v>
      </c>
      <c r="H169" s="38" t="s">
        <v>20</v>
      </c>
      <c r="I169" s="33" t="s">
        <v>63</v>
      </c>
      <c r="J169" s="33" t="s">
        <v>41</v>
      </c>
      <c r="K169" s="32" t="s">
        <v>269</v>
      </c>
      <c r="L169" s="28"/>
      <c r="M169" s="28"/>
      <c r="N169" s="28"/>
      <c r="O169" s="28"/>
      <c r="P169" s="28"/>
      <c r="Q169" s="28">
        <v>30</v>
      </c>
      <c r="R169" s="28"/>
      <c r="S169" s="28"/>
      <c r="T169" s="28"/>
      <c r="U169" s="28">
        <v>1</v>
      </c>
      <c r="V169" s="28">
        <f t="shared" si="15"/>
        <v>30</v>
      </c>
      <c r="W169" s="39">
        <v>6.3</v>
      </c>
      <c r="X169" s="31" t="s">
        <v>19</v>
      </c>
      <c r="Y169" s="39">
        <f>W169-1.2</f>
        <v>5.0999999999999996</v>
      </c>
    </row>
    <row r="170" spans="1:25" ht="17.25" customHeight="1" thickBot="1">
      <c r="A170" s="33" t="s">
        <v>211</v>
      </c>
      <c r="B170" s="33" t="s">
        <v>212</v>
      </c>
      <c r="C170" s="76"/>
      <c r="D170" s="76"/>
      <c r="E170" s="66"/>
      <c r="F170" s="28"/>
      <c r="G170" s="37" t="s">
        <v>218</v>
      </c>
      <c r="H170" s="38" t="s">
        <v>20</v>
      </c>
      <c r="I170" s="33" t="s">
        <v>65</v>
      </c>
      <c r="J170" s="33" t="s">
        <v>41</v>
      </c>
      <c r="K170" s="32" t="s">
        <v>269</v>
      </c>
      <c r="L170" s="28"/>
      <c r="M170" s="28"/>
      <c r="N170" s="28"/>
      <c r="O170" s="28"/>
      <c r="P170" s="28"/>
      <c r="Q170" s="28">
        <v>5</v>
      </c>
      <c r="R170" s="28"/>
      <c r="S170" s="28"/>
      <c r="T170" s="28"/>
      <c r="U170" s="28">
        <v>1</v>
      </c>
      <c r="V170" s="28">
        <f t="shared" si="15"/>
        <v>5</v>
      </c>
      <c r="W170" s="39">
        <v>1.75</v>
      </c>
      <c r="X170" s="31" t="s">
        <v>24</v>
      </c>
      <c r="Y170" s="39">
        <f>W170-0.9</f>
        <v>0.85</v>
      </c>
    </row>
    <row r="171" spans="1:25" ht="17.25" customHeight="1" thickBot="1">
      <c r="A171" s="33" t="s">
        <v>211</v>
      </c>
      <c r="B171" s="33" t="s">
        <v>212</v>
      </c>
      <c r="C171" s="76"/>
      <c r="D171" s="76"/>
      <c r="E171" s="66"/>
      <c r="F171" s="28"/>
      <c r="G171" s="37" t="s">
        <v>219</v>
      </c>
      <c r="H171" s="38" t="s">
        <v>20</v>
      </c>
      <c r="I171" s="33" t="s">
        <v>66</v>
      </c>
      <c r="J171" s="33" t="s">
        <v>41</v>
      </c>
      <c r="K171" s="32" t="s">
        <v>269</v>
      </c>
      <c r="L171" s="28"/>
      <c r="M171" s="28"/>
      <c r="N171" s="28"/>
      <c r="O171" s="28"/>
      <c r="P171" s="28"/>
      <c r="Q171" s="28"/>
      <c r="R171" s="28">
        <v>20</v>
      </c>
      <c r="S171" s="28"/>
      <c r="T171" s="28"/>
      <c r="U171" s="28">
        <v>1</v>
      </c>
      <c r="V171" s="28">
        <f t="shared" si="15"/>
        <v>20</v>
      </c>
      <c r="W171" s="39">
        <v>4.8</v>
      </c>
      <c r="X171" s="31" t="s">
        <v>19</v>
      </c>
      <c r="Y171" s="39">
        <f>W171-1.2</f>
        <v>3.5999999999999996</v>
      </c>
    </row>
    <row r="172" spans="1:25" ht="17.25" customHeight="1" thickBot="1">
      <c r="A172" s="33" t="s">
        <v>211</v>
      </c>
      <c r="B172" s="33" t="s">
        <v>212</v>
      </c>
      <c r="C172" s="76"/>
      <c r="D172" s="76"/>
      <c r="E172" s="66"/>
      <c r="F172" s="28"/>
      <c r="G172" s="37" t="s">
        <v>219</v>
      </c>
      <c r="H172" s="38" t="s">
        <v>20</v>
      </c>
      <c r="I172" s="33" t="s">
        <v>68</v>
      </c>
      <c r="J172" s="33" t="s">
        <v>41</v>
      </c>
      <c r="K172" s="32" t="s">
        <v>269</v>
      </c>
      <c r="L172" s="28"/>
      <c r="M172" s="28"/>
      <c r="N172" s="28"/>
      <c r="O172" s="28"/>
      <c r="P172" s="28"/>
      <c r="Q172" s="28"/>
      <c r="R172" s="28">
        <v>20</v>
      </c>
      <c r="S172" s="28"/>
      <c r="T172" s="28"/>
      <c r="U172" s="28">
        <v>1</v>
      </c>
      <c r="V172" s="28">
        <f t="shared" si="15"/>
        <v>20</v>
      </c>
      <c r="W172" s="39">
        <v>4.8</v>
      </c>
      <c r="X172" s="31" t="s">
        <v>19</v>
      </c>
      <c r="Y172" s="39">
        <f>W172-1.2</f>
        <v>3.5999999999999996</v>
      </c>
    </row>
    <row r="173" spans="1:25" ht="17.25" customHeight="1" thickBot="1">
      <c r="A173" s="33" t="s">
        <v>211</v>
      </c>
      <c r="B173" s="33" t="s">
        <v>212</v>
      </c>
      <c r="C173" s="76"/>
      <c r="D173" s="76"/>
      <c r="E173" s="66"/>
      <c r="F173" s="28"/>
      <c r="G173" s="37" t="s">
        <v>219</v>
      </c>
      <c r="H173" s="38" t="s">
        <v>20</v>
      </c>
      <c r="I173" s="33" t="s">
        <v>69</v>
      </c>
      <c r="J173" s="33" t="s">
        <v>41</v>
      </c>
      <c r="K173" s="32" t="s">
        <v>269</v>
      </c>
      <c r="L173" s="28"/>
      <c r="M173" s="28"/>
      <c r="N173" s="28"/>
      <c r="O173" s="28"/>
      <c r="P173" s="28"/>
      <c r="Q173" s="28"/>
      <c r="R173" s="28">
        <v>20</v>
      </c>
      <c r="S173" s="28"/>
      <c r="T173" s="28"/>
      <c r="U173" s="28">
        <v>1</v>
      </c>
      <c r="V173" s="28">
        <f t="shared" si="15"/>
        <v>20</v>
      </c>
      <c r="W173" s="39">
        <v>4.8</v>
      </c>
      <c r="X173" s="31" t="s">
        <v>19</v>
      </c>
      <c r="Y173" s="39">
        <f>W173-1.2</f>
        <v>3.5999999999999996</v>
      </c>
    </row>
    <row r="174" spans="1:25" ht="17.25" customHeight="1" thickBot="1">
      <c r="A174" s="33" t="s">
        <v>211</v>
      </c>
      <c r="B174" s="33" t="s">
        <v>212</v>
      </c>
      <c r="C174" s="76"/>
      <c r="D174" s="76"/>
      <c r="E174" s="66"/>
      <c r="F174" s="28"/>
      <c r="G174" s="37" t="s">
        <v>220</v>
      </c>
      <c r="H174" s="38" t="s">
        <v>20</v>
      </c>
      <c r="I174" s="33" t="s">
        <v>71</v>
      </c>
      <c r="J174" s="33" t="s">
        <v>41</v>
      </c>
      <c r="K174" s="32" t="s">
        <v>269</v>
      </c>
      <c r="L174" s="28"/>
      <c r="M174" s="28"/>
      <c r="N174" s="28"/>
      <c r="O174" s="28"/>
      <c r="P174" s="28"/>
      <c r="Q174" s="28"/>
      <c r="R174" s="28"/>
      <c r="S174" s="28">
        <v>15</v>
      </c>
      <c r="T174" s="28"/>
      <c r="U174" s="28">
        <v>1</v>
      </c>
      <c r="V174" s="28">
        <f t="shared" si="15"/>
        <v>15</v>
      </c>
      <c r="W174" s="39">
        <v>4.2</v>
      </c>
      <c r="X174" s="31" t="s">
        <v>19</v>
      </c>
      <c r="Y174" s="39">
        <f>W174-1.2</f>
        <v>3</v>
      </c>
    </row>
    <row r="175" spans="1:25" ht="17.25" customHeight="1" thickBot="1">
      <c r="A175" s="33" t="s">
        <v>211</v>
      </c>
      <c r="B175" s="33" t="s">
        <v>212</v>
      </c>
      <c r="C175" s="76"/>
      <c r="D175" s="76"/>
      <c r="E175" s="66"/>
      <c r="F175" s="28"/>
      <c r="G175" s="37" t="s">
        <v>220</v>
      </c>
      <c r="H175" s="38" t="s">
        <v>20</v>
      </c>
      <c r="I175" s="33" t="s">
        <v>72</v>
      </c>
      <c r="J175" s="33" t="s">
        <v>41</v>
      </c>
      <c r="K175" s="32" t="s">
        <v>269</v>
      </c>
      <c r="L175" s="28"/>
      <c r="M175" s="28"/>
      <c r="N175" s="28"/>
      <c r="O175" s="28"/>
      <c r="P175" s="28"/>
      <c r="Q175" s="28"/>
      <c r="R175" s="28"/>
      <c r="S175" s="28">
        <v>5</v>
      </c>
      <c r="T175" s="28"/>
      <c r="U175" s="28">
        <v>1</v>
      </c>
      <c r="V175" s="28">
        <f t="shared" si="15"/>
        <v>5</v>
      </c>
      <c r="W175" s="39">
        <v>1.9</v>
      </c>
      <c r="X175" s="31" t="s">
        <v>24</v>
      </c>
      <c r="Y175" s="39">
        <f>W175-0.9</f>
        <v>0.99999999999999989</v>
      </c>
    </row>
    <row r="176" spans="1:25" ht="17.25" customHeight="1" thickBot="1">
      <c r="A176" s="33" t="s">
        <v>211</v>
      </c>
      <c r="B176" s="33" t="s">
        <v>212</v>
      </c>
      <c r="C176" s="76"/>
      <c r="D176" s="76"/>
      <c r="E176" s="66"/>
      <c r="F176" s="28"/>
      <c r="G176" s="37" t="s">
        <v>221</v>
      </c>
      <c r="H176" s="38" t="s">
        <v>20</v>
      </c>
      <c r="I176" s="33" t="s">
        <v>73</v>
      </c>
      <c r="J176" s="33" t="s">
        <v>41</v>
      </c>
      <c r="K176" s="32" t="s">
        <v>269</v>
      </c>
      <c r="L176" s="28"/>
      <c r="M176" s="28"/>
      <c r="N176" s="28"/>
      <c r="O176" s="28"/>
      <c r="P176" s="28"/>
      <c r="Q176" s="28"/>
      <c r="R176" s="28"/>
      <c r="S176" s="28"/>
      <c r="T176" s="28">
        <v>15</v>
      </c>
      <c r="U176" s="28">
        <v>1</v>
      </c>
      <c r="V176" s="28">
        <f t="shared" si="15"/>
        <v>15</v>
      </c>
      <c r="W176" s="39">
        <v>4.3499999999999996</v>
      </c>
      <c r="X176" s="31" t="s">
        <v>19</v>
      </c>
      <c r="Y176" s="39">
        <f>W176-1.2</f>
        <v>3.1499999999999995</v>
      </c>
    </row>
    <row r="177" spans="1:25" ht="17.25" customHeight="1" thickBot="1">
      <c r="A177" s="33" t="s">
        <v>211</v>
      </c>
      <c r="B177" s="33" t="s">
        <v>212</v>
      </c>
      <c r="C177" s="76"/>
      <c r="D177" s="76"/>
      <c r="E177" s="66"/>
      <c r="F177" s="28"/>
      <c r="G177" s="37" t="s">
        <v>221</v>
      </c>
      <c r="H177" s="38" t="s">
        <v>20</v>
      </c>
      <c r="I177" s="33" t="s">
        <v>74</v>
      </c>
      <c r="J177" s="33" t="s">
        <v>41</v>
      </c>
      <c r="K177" s="32" t="s">
        <v>269</v>
      </c>
      <c r="L177" s="28"/>
      <c r="M177" s="28"/>
      <c r="N177" s="28"/>
      <c r="O177" s="28"/>
      <c r="P177" s="28"/>
      <c r="Q177" s="28"/>
      <c r="R177" s="28"/>
      <c r="S177" s="28"/>
      <c r="T177" s="28">
        <v>5</v>
      </c>
      <c r="U177" s="28">
        <v>1</v>
      </c>
      <c r="V177" s="28">
        <f t="shared" si="15"/>
        <v>5</v>
      </c>
      <c r="W177" s="39">
        <v>1.95</v>
      </c>
      <c r="X177" s="31" t="s">
        <v>24</v>
      </c>
      <c r="Y177" s="39">
        <f>W177-0.9</f>
        <v>1.0499999999999998</v>
      </c>
    </row>
    <row r="178" spans="1:25" ht="17.25" customHeight="1" thickBot="1">
      <c r="A178" s="33" t="s">
        <v>211</v>
      </c>
      <c r="B178" s="33" t="s">
        <v>212</v>
      </c>
      <c r="C178" s="76"/>
      <c r="D178" s="76"/>
      <c r="E178" s="66"/>
      <c r="F178" s="28"/>
      <c r="G178" s="37" t="s">
        <v>222</v>
      </c>
      <c r="H178" s="38" t="s">
        <v>20</v>
      </c>
      <c r="I178" s="33" t="s">
        <v>76</v>
      </c>
      <c r="J178" s="33" t="s">
        <v>41</v>
      </c>
      <c r="K178" s="32" t="s">
        <v>270</v>
      </c>
      <c r="L178" s="28"/>
      <c r="M178" s="28"/>
      <c r="N178" s="28"/>
      <c r="O178" s="28">
        <v>30</v>
      </c>
      <c r="P178" s="28"/>
      <c r="Q178" s="28"/>
      <c r="R178" s="28"/>
      <c r="S178" s="28"/>
      <c r="T178" s="28"/>
      <c r="U178" s="28">
        <v>1</v>
      </c>
      <c r="V178" s="28">
        <f t="shared" si="15"/>
        <v>30</v>
      </c>
      <c r="W178" s="39">
        <v>6</v>
      </c>
      <c r="X178" s="31" t="s">
        <v>19</v>
      </c>
      <c r="Y178" s="39">
        <f t="shared" ref="Y178:Y184" si="16">W178-1.2</f>
        <v>4.8</v>
      </c>
    </row>
    <row r="179" spans="1:25" ht="17.25" customHeight="1" thickBot="1">
      <c r="A179" s="33" t="s">
        <v>211</v>
      </c>
      <c r="B179" s="33" t="s">
        <v>212</v>
      </c>
      <c r="C179" s="76"/>
      <c r="D179" s="76"/>
      <c r="E179" s="66"/>
      <c r="F179" s="28"/>
      <c r="G179" s="37" t="s">
        <v>222</v>
      </c>
      <c r="H179" s="38" t="s">
        <v>20</v>
      </c>
      <c r="I179" s="33" t="s">
        <v>77</v>
      </c>
      <c r="J179" s="33" t="s">
        <v>41</v>
      </c>
      <c r="K179" s="32" t="s">
        <v>270</v>
      </c>
      <c r="L179" s="28"/>
      <c r="M179" s="28"/>
      <c r="N179" s="28"/>
      <c r="O179" s="28">
        <v>30</v>
      </c>
      <c r="P179" s="28"/>
      <c r="Q179" s="28"/>
      <c r="R179" s="28"/>
      <c r="S179" s="28"/>
      <c r="T179" s="28"/>
      <c r="U179" s="28">
        <v>1</v>
      </c>
      <c r="V179" s="28">
        <f t="shared" si="15"/>
        <v>30</v>
      </c>
      <c r="W179" s="39">
        <v>6</v>
      </c>
      <c r="X179" s="31" t="s">
        <v>19</v>
      </c>
      <c r="Y179" s="39">
        <f t="shared" si="16"/>
        <v>4.8</v>
      </c>
    </row>
    <row r="180" spans="1:25" ht="17.25" customHeight="1" thickBot="1">
      <c r="A180" s="33" t="s">
        <v>211</v>
      </c>
      <c r="B180" s="33" t="s">
        <v>212</v>
      </c>
      <c r="C180" s="76"/>
      <c r="D180" s="76"/>
      <c r="E180" s="66"/>
      <c r="F180" s="28"/>
      <c r="G180" s="37" t="s">
        <v>222</v>
      </c>
      <c r="H180" s="38" t="s">
        <v>20</v>
      </c>
      <c r="I180" s="33" t="s">
        <v>78</v>
      </c>
      <c r="J180" s="33" t="s">
        <v>41</v>
      </c>
      <c r="K180" s="32" t="s">
        <v>270</v>
      </c>
      <c r="L180" s="28"/>
      <c r="M180" s="28"/>
      <c r="N180" s="28"/>
      <c r="O180" s="28">
        <v>30</v>
      </c>
      <c r="P180" s="28"/>
      <c r="Q180" s="28"/>
      <c r="R180" s="28"/>
      <c r="S180" s="28"/>
      <c r="T180" s="28"/>
      <c r="U180" s="28">
        <v>1</v>
      </c>
      <c r="V180" s="28">
        <f t="shared" si="15"/>
        <v>30</v>
      </c>
      <c r="W180" s="39">
        <v>6</v>
      </c>
      <c r="X180" s="31" t="s">
        <v>19</v>
      </c>
      <c r="Y180" s="39">
        <f t="shared" si="16"/>
        <v>4.8</v>
      </c>
    </row>
    <row r="181" spans="1:25" ht="17.25" customHeight="1" thickBot="1">
      <c r="A181" s="33" t="s">
        <v>211</v>
      </c>
      <c r="B181" s="33" t="s">
        <v>212</v>
      </c>
      <c r="C181" s="76"/>
      <c r="D181" s="76"/>
      <c r="E181" s="66"/>
      <c r="F181" s="28"/>
      <c r="G181" s="37" t="s">
        <v>223</v>
      </c>
      <c r="H181" s="38" t="s">
        <v>20</v>
      </c>
      <c r="I181" s="33" t="s">
        <v>79</v>
      </c>
      <c r="J181" s="33" t="s">
        <v>41</v>
      </c>
      <c r="K181" s="32" t="s">
        <v>270</v>
      </c>
      <c r="L181" s="28"/>
      <c r="M181" s="28"/>
      <c r="N181" s="28"/>
      <c r="O181" s="28"/>
      <c r="P181" s="28">
        <v>30</v>
      </c>
      <c r="Q181" s="28"/>
      <c r="R181" s="28"/>
      <c r="S181" s="28"/>
      <c r="T181" s="28"/>
      <c r="U181" s="28">
        <v>1</v>
      </c>
      <c r="V181" s="28">
        <f t="shared" si="15"/>
        <v>30</v>
      </c>
      <c r="W181" s="39">
        <v>6.3</v>
      </c>
      <c r="X181" s="31" t="s">
        <v>19</v>
      </c>
      <c r="Y181" s="39">
        <f t="shared" si="16"/>
        <v>5.0999999999999996</v>
      </c>
    </row>
    <row r="182" spans="1:25" ht="17.25" customHeight="1" thickBot="1">
      <c r="A182" s="33" t="s">
        <v>211</v>
      </c>
      <c r="B182" s="33" t="s">
        <v>212</v>
      </c>
      <c r="C182" s="76"/>
      <c r="D182" s="76"/>
      <c r="E182" s="66"/>
      <c r="F182" s="28"/>
      <c r="G182" s="37" t="s">
        <v>223</v>
      </c>
      <c r="H182" s="38" t="s">
        <v>20</v>
      </c>
      <c r="I182" s="33" t="s">
        <v>81</v>
      </c>
      <c r="J182" s="33" t="s">
        <v>41</v>
      </c>
      <c r="K182" s="32" t="s">
        <v>270</v>
      </c>
      <c r="L182" s="28"/>
      <c r="M182" s="28"/>
      <c r="N182" s="28"/>
      <c r="O182" s="28"/>
      <c r="P182" s="28">
        <v>30</v>
      </c>
      <c r="Q182" s="28"/>
      <c r="R182" s="28"/>
      <c r="S182" s="28"/>
      <c r="T182" s="28"/>
      <c r="U182" s="28">
        <v>1</v>
      </c>
      <c r="V182" s="28">
        <f t="shared" si="15"/>
        <v>30</v>
      </c>
      <c r="W182" s="39">
        <v>6.3</v>
      </c>
      <c r="X182" s="31" t="s">
        <v>19</v>
      </c>
      <c r="Y182" s="39">
        <f t="shared" si="16"/>
        <v>5.0999999999999996</v>
      </c>
    </row>
    <row r="183" spans="1:25" ht="17.25" customHeight="1" thickBot="1">
      <c r="A183" s="33" t="s">
        <v>211</v>
      </c>
      <c r="B183" s="33" t="s">
        <v>212</v>
      </c>
      <c r="C183" s="76"/>
      <c r="D183" s="76"/>
      <c r="E183" s="66"/>
      <c r="F183" s="28"/>
      <c r="G183" s="37" t="s">
        <v>223</v>
      </c>
      <c r="H183" s="38" t="s">
        <v>20</v>
      </c>
      <c r="I183" s="33" t="s">
        <v>82</v>
      </c>
      <c r="J183" s="33" t="s">
        <v>41</v>
      </c>
      <c r="K183" s="32" t="s">
        <v>270</v>
      </c>
      <c r="L183" s="28"/>
      <c r="M183" s="28"/>
      <c r="N183" s="28"/>
      <c r="O183" s="28"/>
      <c r="P183" s="28">
        <v>30</v>
      </c>
      <c r="Q183" s="28"/>
      <c r="R183" s="28"/>
      <c r="S183" s="28"/>
      <c r="T183" s="28"/>
      <c r="U183" s="28">
        <v>1</v>
      </c>
      <c r="V183" s="28">
        <f t="shared" si="15"/>
        <v>30</v>
      </c>
      <c r="W183" s="39">
        <v>6.3</v>
      </c>
      <c r="X183" s="31" t="s">
        <v>19</v>
      </c>
      <c r="Y183" s="39">
        <f t="shared" si="16"/>
        <v>5.0999999999999996</v>
      </c>
    </row>
    <row r="184" spans="1:25" ht="17.25" customHeight="1" thickBot="1">
      <c r="A184" s="33" t="s">
        <v>211</v>
      </c>
      <c r="B184" s="33" t="s">
        <v>212</v>
      </c>
      <c r="C184" s="76"/>
      <c r="D184" s="76"/>
      <c r="E184" s="66"/>
      <c r="F184" s="28"/>
      <c r="G184" s="37" t="s">
        <v>223</v>
      </c>
      <c r="H184" s="38" t="s">
        <v>20</v>
      </c>
      <c r="I184" s="33" t="s">
        <v>83</v>
      </c>
      <c r="J184" s="33" t="s">
        <v>41</v>
      </c>
      <c r="K184" s="32" t="s">
        <v>270</v>
      </c>
      <c r="L184" s="28"/>
      <c r="M184" s="28"/>
      <c r="N184" s="28"/>
      <c r="O184" s="28"/>
      <c r="P184" s="28">
        <v>30</v>
      </c>
      <c r="Q184" s="28"/>
      <c r="R184" s="28"/>
      <c r="S184" s="28"/>
      <c r="T184" s="28"/>
      <c r="U184" s="28">
        <v>1</v>
      </c>
      <c r="V184" s="28">
        <f t="shared" si="15"/>
        <v>30</v>
      </c>
      <c r="W184" s="39">
        <v>6.3</v>
      </c>
      <c r="X184" s="31" t="s">
        <v>19</v>
      </c>
      <c r="Y184" s="39">
        <f t="shared" si="16"/>
        <v>5.0999999999999996</v>
      </c>
    </row>
    <row r="185" spans="1:25" ht="17.25" customHeight="1" thickBot="1">
      <c r="A185" s="33" t="s">
        <v>211</v>
      </c>
      <c r="B185" s="33" t="s">
        <v>212</v>
      </c>
      <c r="C185" s="76"/>
      <c r="D185" s="76"/>
      <c r="E185" s="66"/>
      <c r="F185" s="28"/>
      <c r="G185" s="37" t="s">
        <v>223</v>
      </c>
      <c r="H185" s="38" t="s">
        <v>20</v>
      </c>
      <c r="I185" s="33" t="s">
        <v>84</v>
      </c>
      <c r="J185" s="33" t="s">
        <v>41</v>
      </c>
      <c r="K185" s="32" t="s">
        <v>270</v>
      </c>
      <c r="L185" s="28"/>
      <c r="M185" s="28"/>
      <c r="N185" s="28"/>
      <c r="O185" s="28"/>
      <c r="P185" s="28">
        <v>20</v>
      </c>
      <c r="Q185" s="28"/>
      <c r="R185" s="28"/>
      <c r="S185" s="28"/>
      <c r="T185" s="28"/>
      <c r="U185" s="28">
        <v>1</v>
      </c>
      <c r="V185" s="28">
        <f t="shared" si="15"/>
        <v>20</v>
      </c>
      <c r="W185" s="39">
        <v>4.5</v>
      </c>
      <c r="X185" s="31" t="s">
        <v>23</v>
      </c>
      <c r="Y185" s="39">
        <f>W185-1.1</f>
        <v>3.4</v>
      </c>
    </row>
    <row r="186" spans="1:25" ht="17.25" customHeight="1" thickBot="1">
      <c r="A186" s="33" t="s">
        <v>211</v>
      </c>
      <c r="B186" s="33" t="s">
        <v>212</v>
      </c>
      <c r="C186" s="76"/>
      <c r="D186" s="76"/>
      <c r="E186" s="66"/>
      <c r="F186" s="28"/>
      <c r="G186" s="37" t="s">
        <v>224</v>
      </c>
      <c r="H186" s="38" t="s">
        <v>20</v>
      </c>
      <c r="I186" s="33" t="s">
        <v>85</v>
      </c>
      <c r="J186" s="33" t="s">
        <v>41</v>
      </c>
      <c r="K186" s="32" t="s">
        <v>270</v>
      </c>
      <c r="L186" s="28"/>
      <c r="M186" s="28"/>
      <c r="N186" s="28"/>
      <c r="O186" s="28"/>
      <c r="P186" s="28"/>
      <c r="Q186" s="28">
        <v>30</v>
      </c>
      <c r="R186" s="28"/>
      <c r="S186" s="28"/>
      <c r="T186" s="28"/>
      <c r="U186" s="28">
        <v>1</v>
      </c>
      <c r="V186" s="28">
        <f t="shared" ref="V186:V217" si="17">SUM(L186:T186)</f>
        <v>30</v>
      </c>
      <c r="W186" s="39">
        <v>6.6</v>
      </c>
      <c r="X186" s="31" t="s">
        <v>19</v>
      </c>
      <c r="Y186" s="39">
        <f>W186-1.2</f>
        <v>5.3999999999999995</v>
      </c>
    </row>
    <row r="187" spans="1:25" ht="17.25" customHeight="1" thickBot="1">
      <c r="A187" s="33" t="s">
        <v>211</v>
      </c>
      <c r="B187" s="33" t="s">
        <v>212</v>
      </c>
      <c r="C187" s="76"/>
      <c r="D187" s="76"/>
      <c r="E187" s="66"/>
      <c r="F187" s="28"/>
      <c r="G187" s="37" t="s">
        <v>224</v>
      </c>
      <c r="H187" s="38" t="s">
        <v>20</v>
      </c>
      <c r="I187" s="33" t="s">
        <v>86</v>
      </c>
      <c r="J187" s="33" t="s">
        <v>41</v>
      </c>
      <c r="K187" s="32" t="s">
        <v>270</v>
      </c>
      <c r="L187" s="28"/>
      <c r="M187" s="28"/>
      <c r="N187" s="28"/>
      <c r="O187" s="28"/>
      <c r="P187" s="28"/>
      <c r="Q187" s="28">
        <v>30</v>
      </c>
      <c r="R187" s="28"/>
      <c r="S187" s="28"/>
      <c r="T187" s="28"/>
      <c r="U187" s="28">
        <v>1</v>
      </c>
      <c r="V187" s="28">
        <f t="shared" si="17"/>
        <v>30</v>
      </c>
      <c r="W187" s="39">
        <v>6.6</v>
      </c>
      <c r="X187" s="31" t="s">
        <v>19</v>
      </c>
      <c r="Y187" s="39">
        <f>W187-1.2</f>
        <v>5.3999999999999995</v>
      </c>
    </row>
    <row r="188" spans="1:25" ht="17.25" customHeight="1" thickBot="1">
      <c r="A188" s="33" t="s">
        <v>211</v>
      </c>
      <c r="B188" s="33" t="s">
        <v>212</v>
      </c>
      <c r="C188" s="76"/>
      <c r="D188" s="76"/>
      <c r="E188" s="66"/>
      <c r="F188" s="28"/>
      <c r="G188" s="37" t="s">
        <v>224</v>
      </c>
      <c r="H188" s="38" t="s">
        <v>20</v>
      </c>
      <c r="I188" s="33" t="s">
        <v>88</v>
      </c>
      <c r="J188" s="33" t="s">
        <v>41</v>
      </c>
      <c r="K188" s="32" t="s">
        <v>270</v>
      </c>
      <c r="L188" s="28"/>
      <c r="M188" s="28"/>
      <c r="N188" s="28"/>
      <c r="O188" s="28"/>
      <c r="P188" s="28"/>
      <c r="Q188" s="28">
        <v>10</v>
      </c>
      <c r="R188" s="28"/>
      <c r="S188" s="28"/>
      <c r="T188" s="28"/>
      <c r="U188" s="28">
        <v>1</v>
      </c>
      <c r="V188" s="28">
        <f t="shared" si="17"/>
        <v>10</v>
      </c>
      <c r="W188" s="39">
        <v>2.7</v>
      </c>
      <c r="X188" s="31" t="s">
        <v>24</v>
      </c>
      <c r="Y188" s="39">
        <f>W188-0.9</f>
        <v>1.8000000000000003</v>
      </c>
    </row>
    <row r="189" spans="1:25" ht="17.25" customHeight="1" thickBot="1">
      <c r="A189" s="33" t="s">
        <v>211</v>
      </c>
      <c r="B189" s="33" t="s">
        <v>212</v>
      </c>
      <c r="C189" s="76"/>
      <c r="D189" s="76"/>
      <c r="E189" s="66"/>
      <c r="F189" s="28"/>
      <c r="G189" s="37" t="s">
        <v>225</v>
      </c>
      <c r="H189" s="38" t="s">
        <v>20</v>
      </c>
      <c r="I189" s="33" t="s">
        <v>89</v>
      </c>
      <c r="J189" s="33" t="s">
        <v>41</v>
      </c>
      <c r="K189" s="32" t="s">
        <v>270</v>
      </c>
      <c r="L189" s="28"/>
      <c r="M189" s="28"/>
      <c r="N189" s="28"/>
      <c r="O189" s="28"/>
      <c r="P189" s="28"/>
      <c r="Q189" s="28"/>
      <c r="R189" s="28">
        <v>20</v>
      </c>
      <c r="S189" s="28"/>
      <c r="T189" s="28"/>
      <c r="U189" s="28">
        <v>1</v>
      </c>
      <c r="V189" s="28">
        <f t="shared" si="17"/>
        <v>20</v>
      </c>
      <c r="W189" s="39">
        <v>5.2</v>
      </c>
      <c r="X189" s="31" t="s">
        <v>19</v>
      </c>
      <c r="Y189" s="39">
        <f>W189-1.2</f>
        <v>4</v>
      </c>
    </row>
    <row r="190" spans="1:25" ht="17.25" customHeight="1" thickBot="1">
      <c r="A190" s="33" t="s">
        <v>211</v>
      </c>
      <c r="B190" s="33" t="s">
        <v>212</v>
      </c>
      <c r="C190" s="76"/>
      <c r="D190" s="76"/>
      <c r="E190" s="66"/>
      <c r="F190" s="28"/>
      <c r="G190" s="37" t="s">
        <v>225</v>
      </c>
      <c r="H190" s="38" t="s">
        <v>20</v>
      </c>
      <c r="I190" s="33" t="s">
        <v>91</v>
      </c>
      <c r="J190" s="33" t="s">
        <v>41</v>
      </c>
      <c r="K190" s="32" t="s">
        <v>270</v>
      </c>
      <c r="L190" s="28"/>
      <c r="M190" s="28"/>
      <c r="N190" s="28"/>
      <c r="O190" s="28"/>
      <c r="P190" s="28"/>
      <c r="Q190" s="28"/>
      <c r="R190" s="28">
        <v>20</v>
      </c>
      <c r="S190" s="28"/>
      <c r="T190" s="28"/>
      <c r="U190" s="28">
        <v>1</v>
      </c>
      <c r="V190" s="28">
        <f t="shared" si="17"/>
        <v>20</v>
      </c>
      <c r="W190" s="39">
        <v>5.2</v>
      </c>
      <c r="X190" s="31" t="s">
        <v>19</v>
      </c>
      <c r="Y190" s="39">
        <f>W190-1.2</f>
        <v>4</v>
      </c>
    </row>
    <row r="191" spans="1:25" ht="17.25" customHeight="1" thickBot="1">
      <c r="A191" s="33" t="s">
        <v>211</v>
      </c>
      <c r="B191" s="33" t="s">
        <v>212</v>
      </c>
      <c r="C191" s="76"/>
      <c r="D191" s="76"/>
      <c r="E191" s="66"/>
      <c r="F191" s="28"/>
      <c r="G191" s="37" t="s">
        <v>225</v>
      </c>
      <c r="H191" s="38" t="s">
        <v>20</v>
      </c>
      <c r="I191" s="33" t="s">
        <v>92</v>
      </c>
      <c r="J191" s="33" t="s">
        <v>41</v>
      </c>
      <c r="K191" s="32" t="s">
        <v>270</v>
      </c>
      <c r="L191" s="28"/>
      <c r="M191" s="28"/>
      <c r="N191" s="28"/>
      <c r="O191" s="28"/>
      <c r="P191" s="28"/>
      <c r="Q191" s="28"/>
      <c r="R191" s="28">
        <v>10</v>
      </c>
      <c r="S191" s="28"/>
      <c r="T191" s="28"/>
      <c r="U191" s="28">
        <v>1</v>
      </c>
      <c r="V191" s="28">
        <f t="shared" si="17"/>
        <v>10</v>
      </c>
      <c r="W191" s="39">
        <v>3.1</v>
      </c>
      <c r="X191" s="31" t="s">
        <v>23</v>
      </c>
      <c r="Y191" s="39">
        <f>W191-1.1</f>
        <v>2</v>
      </c>
    </row>
    <row r="192" spans="1:25" ht="17.25" customHeight="1" thickBot="1">
      <c r="A192" s="33" t="s">
        <v>211</v>
      </c>
      <c r="B192" s="33" t="s">
        <v>212</v>
      </c>
      <c r="C192" s="76"/>
      <c r="D192" s="76"/>
      <c r="E192" s="66"/>
      <c r="F192" s="28"/>
      <c r="G192" s="37" t="s">
        <v>226</v>
      </c>
      <c r="H192" s="38" t="s">
        <v>20</v>
      </c>
      <c r="I192" s="33" t="s">
        <v>94</v>
      </c>
      <c r="J192" s="33" t="s">
        <v>41</v>
      </c>
      <c r="K192" s="32" t="s">
        <v>270</v>
      </c>
      <c r="L192" s="28"/>
      <c r="M192" s="28"/>
      <c r="N192" s="28"/>
      <c r="O192" s="28"/>
      <c r="P192" s="28"/>
      <c r="Q192" s="28"/>
      <c r="R192" s="28"/>
      <c r="S192" s="28">
        <v>15</v>
      </c>
      <c r="T192" s="28"/>
      <c r="U192" s="28">
        <v>1</v>
      </c>
      <c r="V192" s="28">
        <f t="shared" si="17"/>
        <v>15</v>
      </c>
      <c r="W192" s="39">
        <v>4.3499999999999996</v>
      </c>
      <c r="X192" s="31" t="s">
        <v>19</v>
      </c>
      <c r="Y192" s="39">
        <f>W192-1.2</f>
        <v>3.1499999999999995</v>
      </c>
    </row>
    <row r="193" spans="1:25" ht="17.25" customHeight="1" thickBot="1">
      <c r="A193" s="33" t="s">
        <v>211</v>
      </c>
      <c r="B193" s="33" t="s">
        <v>212</v>
      </c>
      <c r="C193" s="76"/>
      <c r="D193" s="76"/>
      <c r="E193" s="66"/>
      <c r="F193" s="28"/>
      <c r="G193" s="37" t="s">
        <v>226</v>
      </c>
      <c r="H193" s="38" t="s">
        <v>20</v>
      </c>
      <c r="I193" s="33" t="s">
        <v>96</v>
      </c>
      <c r="J193" s="33" t="s">
        <v>41</v>
      </c>
      <c r="K193" s="32" t="s">
        <v>270</v>
      </c>
      <c r="L193" s="28"/>
      <c r="M193" s="28"/>
      <c r="N193" s="28"/>
      <c r="O193" s="28"/>
      <c r="P193" s="28"/>
      <c r="Q193" s="28"/>
      <c r="R193" s="28"/>
      <c r="S193" s="28">
        <v>5</v>
      </c>
      <c r="T193" s="28"/>
      <c r="U193" s="28">
        <v>1</v>
      </c>
      <c r="V193" s="28">
        <f t="shared" si="17"/>
        <v>5</v>
      </c>
      <c r="W193" s="39">
        <v>1.95</v>
      </c>
      <c r="X193" s="31" t="s">
        <v>24</v>
      </c>
      <c r="Y193" s="39">
        <f>W193-0.9</f>
        <v>1.0499999999999998</v>
      </c>
    </row>
    <row r="194" spans="1:25" ht="17.25" customHeight="1" thickBot="1">
      <c r="A194" s="33" t="s">
        <v>211</v>
      </c>
      <c r="B194" s="33" t="s">
        <v>212</v>
      </c>
      <c r="C194" s="76"/>
      <c r="D194" s="76"/>
      <c r="E194" s="66"/>
      <c r="F194" s="28"/>
      <c r="G194" s="37" t="s">
        <v>227</v>
      </c>
      <c r="H194" s="38" t="s">
        <v>20</v>
      </c>
      <c r="I194" s="33" t="s">
        <v>97</v>
      </c>
      <c r="J194" s="33" t="s">
        <v>41</v>
      </c>
      <c r="K194" s="32" t="s">
        <v>270</v>
      </c>
      <c r="L194" s="28"/>
      <c r="M194" s="28"/>
      <c r="N194" s="28"/>
      <c r="O194" s="28"/>
      <c r="P194" s="28"/>
      <c r="Q194" s="28"/>
      <c r="R194" s="28"/>
      <c r="S194" s="28"/>
      <c r="T194" s="28">
        <v>15</v>
      </c>
      <c r="U194" s="28">
        <v>1</v>
      </c>
      <c r="V194" s="28">
        <f t="shared" si="17"/>
        <v>15</v>
      </c>
      <c r="W194" s="39">
        <v>4.5</v>
      </c>
      <c r="X194" s="31" t="s">
        <v>19</v>
      </c>
      <c r="Y194" s="39">
        <f>W194-1.2</f>
        <v>3.3</v>
      </c>
    </row>
    <row r="195" spans="1:25" ht="17.25" customHeight="1" thickBot="1">
      <c r="A195" s="33" t="s">
        <v>211</v>
      </c>
      <c r="B195" s="33" t="s">
        <v>212</v>
      </c>
      <c r="C195" s="76"/>
      <c r="D195" s="76"/>
      <c r="E195" s="66"/>
      <c r="F195" s="28"/>
      <c r="G195" s="37" t="s">
        <v>227</v>
      </c>
      <c r="H195" s="38" t="s">
        <v>20</v>
      </c>
      <c r="I195" s="33" t="s">
        <v>98</v>
      </c>
      <c r="J195" s="33" t="s">
        <v>41</v>
      </c>
      <c r="K195" s="32" t="s">
        <v>270</v>
      </c>
      <c r="L195" s="28"/>
      <c r="M195" s="28"/>
      <c r="N195" s="28"/>
      <c r="O195" s="28"/>
      <c r="P195" s="28"/>
      <c r="Q195" s="28"/>
      <c r="R195" s="28"/>
      <c r="S195" s="28"/>
      <c r="T195" s="28">
        <v>5</v>
      </c>
      <c r="U195" s="28">
        <v>1</v>
      </c>
      <c r="V195" s="28">
        <f t="shared" si="17"/>
        <v>5</v>
      </c>
      <c r="W195" s="39">
        <v>2</v>
      </c>
      <c r="X195" s="31" t="s">
        <v>24</v>
      </c>
      <c r="Y195" s="39">
        <f>W195-0.9</f>
        <v>1.1000000000000001</v>
      </c>
    </row>
    <row r="196" spans="1:25" ht="17.25" customHeight="1" thickBot="1">
      <c r="A196" s="33" t="s">
        <v>211</v>
      </c>
      <c r="B196" s="33" t="s">
        <v>212</v>
      </c>
      <c r="C196" s="76"/>
      <c r="D196" s="76"/>
      <c r="E196" s="66"/>
      <c r="F196" s="28"/>
      <c r="G196" s="37" t="s">
        <v>228</v>
      </c>
      <c r="H196" s="38" t="s">
        <v>20</v>
      </c>
      <c r="I196" s="33" t="s">
        <v>99</v>
      </c>
      <c r="J196" s="33" t="s">
        <v>41</v>
      </c>
      <c r="K196" s="32" t="s">
        <v>271</v>
      </c>
      <c r="L196" s="28"/>
      <c r="M196" s="28"/>
      <c r="N196" s="28"/>
      <c r="O196" s="28">
        <v>30</v>
      </c>
      <c r="P196" s="28"/>
      <c r="Q196" s="28"/>
      <c r="R196" s="28"/>
      <c r="S196" s="28"/>
      <c r="T196" s="28"/>
      <c r="U196" s="28">
        <v>1</v>
      </c>
      <c r="V196" s="28">
        <f t="shared" si="17"/>
        <v>30</v>
      </c>
      <c r="W196" s="39">
        <v>6</v>
      </c>
      <c r="X196" s="31" t="s">
        <v>19</v>
      </c>
      <c r="Y196" s="39">
        <f>W196-1.2</f>
        <v>4.8</v>
      </c>
    </row>
    <row r="197" spans="1:25" ht="17.25" customHeight="1" thickBot="1">
      <c r="A197" s="33" t="s">
        <v>211</v>
      </c>
      <c r="B197" s="33" t="s">
        <v>212</v>
      </c>
      <c r="C197" s="76"/>
      <c r="D197" s="76"/>
      <c r="E197" s="66"/>
      <c r="F197" s="28"/>
      <c r="G197" s="37" t="s">
        <v>228</v>
      </c>
      <c r="H197" s="38" t="s">
        <v>20</v>
      </c>
      <c r="I197" s="33" t="s">
        <v>101</v>
      </c>
      <c r="J197" s="33" t="s">
        <v>41</v>
      </c>
      <c r="K197" s="32" t="s">
        <v>271</v>
      </c>
      <c r="L197" s="28"/>
      <c r="M197" s="28"/>
      <c r="N197" s="28"/>
      <c r="O197" s="28">
        <v>30</v>
      </c>
      <c r="P197" s="28"/>
      <c r="Q197" s="28"/>
      <c r="R197" s="28"/>
      <c r="S197" s="28"/>
      <c r="T197" s="28"/>
      <c r="U197" s="28">
        <v>1</v>
      </c>
      <c r="V197" s="28">
        <f t="shared" si="17"/>
        <v>30</v>
      </c>
      <c r="W197" s="39">
        <v>6</v>
      </c>
      <c r="X197" s="31" t="s">
        <v>19</v>
      </c>
      <c r="Y197" s="39">
        <f>W197-1.2</f>
        <v>4.8</v>
      </c>
    </row>
    <row r="198" spans="1:25" ht="17.25" customHeight="1" thickBot="1">
      <c r="A198" s="33" t="s">
        <v>211</v>
      </c>
      <c r="B198" s="33" t="s">
        <v>212</v>
      </c>
      <c r="C198" s="76"/>
      <c r="D198" s="76"/>
      <c r="E198" s="66"/>
      <c r="F198" s="28"/>
      <c r="G198" s="37" t="s">
        <v>228</v>
      </c>
      <c r="H198" s="38" t="s">
        <v>20</v>
      </c>
      <c r="I198" s="33" t="s">
        <v>102</v>
      </c>
      <c r="J198" s="33" t="s">
        <v>41</v>
      </c>
      <c r="K198" s="32" t="s">
        <v>271</v>
      </c>
      <c r="L198" s="28"/>
      <c r="M198" s="28"/>
      <c r="N198" s="28"/>
      <c r="O198" s="28">
        <v>10</v>
      </c>
      <c r="P198" s="28"/>
      <c r="Q198" s="28"/>
      <c r="R198" s="28"/>
      <c r="S198" s="28"/>
      <c r="T198" s="28"/>
      <c r="U198" s="28">
        <v>1</v>
      </c>
      <c r="V198" s="28">
        <f t="shared" si="17"/>
        <v>10</v>
      </c>
      <c r="W198" s="39">
        <v>2.5</v>
      </c>
      <c r="X198" s="31" t="s">
        <v>24</v>
      </c>
      <c r="Y198" s="39">
        <f>W198-0.9</f>
        <v>1.6</v>
      </c>
    </row>
    <row r="199" spans="1:25" ht="17.25" customHeight="1" thickBot="1">
      <c r="A199" s="33" t="s">
        <v>211</v>
      </c>
      <c r="B199" s="33" t="s">
        <v>212</v>
      </c>
      <c r="C199" s="76"/>
      <c r="D199" s="76"/>
      <c r="E199" s="66"/>
      <c r="F199" s="28"/>
      <c r="G199" s="37" t="s">
        <v>229</v>
      </c>
      <c r="H199" s="38" t="s">
        <v>20</v>
      </c>
      <c r="I199" s="33" t="s">
        <v>103</v>
      </c>
      <c r="J199" s="33" t="s">
        <v>41</v>
      </c>
      <c r="K199" s="32" t="s">
        <v>271</v>
      </c>
      <c r="L199" s="28"/>
      <c r="M199" s="28"/>
      <c r="N199" s="28"/>
      <c r="O199" s="28"/>
      <c r="P199" s="28">
        <v>30</v>
      </c>
      <c r="Q199" s="28"/>
      <c r="R199" s="28"/>
      <c r="S199" s="28"/>
      <c r="T199" s="28"/>
      <c r="U199" s="28">
        <v>1</v>
      </c>
      <c r="V199" s="28">
        <f t="shared" si="17"/>
        <v>30</v>
      </c>
      <c r="W199" s="39">
        <v>6.3</v>
      </c>
      <c r="X199" s="31" t="s">
        <v>19</v>
      </c>
      <c r="Y199" s="39">
        <f t="shared" ref="Y199:Y205" si="18">W199-1.2</f>
        <v>5.0999999999999996</v>
      </c>
    </row>
    <row r="200" spans="1:25" ht="17.25" customHeight="1" thickBot="1">
      <c r="A200" s="33" t="s">
        <v>211</v>
      </c>
      <c r="B200" s="33" t="s">
        <v>212</v>
      </c>
      <c r="C200" s="76"/>
      <c r="D200" s="76"/>
      <c r="E200" s="66"/>
      <c r="F200" s="28"/>
      <c r="G200" s="37" t="s">
        <v>229</v>
      </c>
      <c r="H200" s="38" t="s">
        <v>20</v>
      </c>
      <c r="I200" s="33" t="s">
        <v>104</v>
      </c>
      <c r="J200" s="33" t="s">
        <v>41</v>
      </c>
      <c r="K200" s="32" t="s">
        <v>271</v>
      </c>
      <c r="L200" s="28"/>
      <c r="M200" s="28"/>
      <c r="N200" s="28"/>
      <c r="O200" s="28"/>
      <c r="P200" s="28">
        <v>30</v>
      </c>
      <c r="Q200" s="28"/>
      <c r="R200" s="28"/>
      <c r="S200" s="28"/>
      <c r="T200" s="28"/>
      <c r="U200" s="28">
        <v>1</v>
      </c>
      <c r="V200" s="28">
        <f t="shared" si="17"/>
        <v>30</v>
      </c>
      <c r="W200" s="39">
        <v>6.3</v>
      </c>
      <c r="X200" s="31" t="s">
        <v>19</v>
      </c>
      <c r="Y200" s="39">
        <f t="shared" si="18"/>
        <v>5.0999999999999996</v>
      </c>
    </row>
    <row r="201" spans="1:25" ht="17.25" customHeight="1" thickBot="1">
      <c r="A201" s="33" t="s">
        <v>211</v>
      </c>
      <c r="B201" s="33" t="s">
        <v>212</v>
      </c>
      <c r="C201" s="76"/>
      <c r="D201" s="76"/>
      <c r="E201" s="66"/>
      <c r="F201" s="28"/>
      <c r="G201" s="37" t="s">
        <v>229</v>
      </c>
      <c r="H201" s="38" t="s">
        <v>20</v>
      </c>
      <c r="I201" s="33" t="s">
        <v>105</v>
      </c>
      <c r="J201" s="33" t="s">
        <v>41</v>
      </c>
      <c r="K201" s="32" t="s">
        <v>271</v>
      </c>
      <c r="L201" s="28"/>
      <c r="M201" s="28"/>
      <c r="N201" s="28"/>
      <c r="O201" s="28"/>
      <c r="P201" s="28">
        <v>30</v>
      </c>
      <c r="Q201" s="28"/>
      <c r="R201" s="28"/>
      <c r="S201" s="28"/>
      <c r="T201" s="28"/>
      <c r="U201" s="28">
        <v>1</v>
      </c>
      <c r="V201" s="28">
        <f t="shared" si="17"/>
        <v>30</v>
      </c>
      <c r="W201" s="39">
        <v>6.3</v>
      </c>
      <c r="X201" s="31" t="s">
        <v>19</v>
      </c>
      <c r="Y201" s="39">
        <f t="shared" si="18"/>
        <v>5.0999999999999996</v>
      </c>
    </row>
    <row r="202" spans="1:25" ht="17.25" customHeight="1" thickBot="1">
      <c r="A202" s="33" t="s">
        <v>211</v>
      </c>
      <c r="B202" s="33" t="s">
        <v>212</v>
      </c>
      <c r="C202" s="76"/>
      <c r="D202" s="76"/>
      <c r="E202" s="66"/>
      <c r="F202" s="28"/>
      <c r="G202" s="37" t="s">
        <v>229</v>
      </c>
      <c r="H202" s="38" t="s">
        <v>20</v>
      </c>
      <c r="I202" s="33" t="s">
        <v>106</v>
      </c>
      <c r="J202" s="33" t="s">
        <v>41</v>
      </c>
      <c r="K202" s="32" t="s">
        <v>271</v>
      </c>
      <c r="L202" s="28"/>
      <c r="M202" s="28"/>
      <c r="N202" s="28"/>
      <c r="O202" s="28"/>
      <c r="P202" s="28">
        <v>30</v>
      </c>
      <c r="Q202" s="28"/>
      <c r="R202" s="28"/>
      <c r="S202" s="28"/>
      <c r="T202" s="28"/>
      <c r="U202" s="28">
        <v>1</v>
      </c>
      <c r="V202" s="28">
        <f t="shared" si="17"/>
        <v>30</v>
      </c>
      <c r="W202" s="39">
        <v>6.3</v>
      </c>
      <c r="X202" s="31" t="s">
        <v>19</v>
      </c>
      <c r="Y202" s="39">
        <f t="shared" si="18"/>
        <v>5.0999999999999996</v>
      </c>
    </row>
    <row r="203" spans="1:25" ht="17.25" customHeight="1" thickBot="1">
      <c r="A203" s="33" t="s">
        <v>211</v>
      </c>
      <c r="B203" s="33" t="s">
        <v>212</v>
      </c>
      <c r="C203" s="76"/>
      <c r="D203" s="76"/>
      <c r="E203" s="66"/>
      <c r="F203" s="28"/>
      <c r="G203" s="37" t="s">
        <v>229</v>
      </c>
      <c r="H203" s="38" t="s">
        <v>20</v>
      </c>
      <c r="I203" s="33" t="s">
        <v>107</v>
      </c>
      <c r="J203" s="33" t="s">
        <v>41</v>
      </c>
      <c r="K203" s="32" t="s">
        <v>271</v>
      </c>
      <c r="L203" s="28"/>
      <c r="M203" s="28"/>
      <c r="N203" s="28"/>
      <c r="O203" s="28"/>
      <c r="P203" s="28">
        <v>30</v>
      </c>
      <c r="Q203" s="28"/>
      <c r="R203" s="28"/>
      <c r="S203" s="28"/>
      <c r="T203" s="28"/>
      <c r="U203" s="28">
        <v>1</v>
      </c>
      <c r="V203" s="28">
        <f t="shared" si="17"/>
        <v>30</v>
      </c>
      <c r="W203" s="39">
        <v>6.3</v>
      </c>
      <c r="X203" s="31" t="s">
        <v>19</v>
      </c>
      <c r="Y203" s="39">
        <f t="shared" si="18"/>
        <v>5.0999999999999996</v>
      </c>
    </row>
    <row r="204" spans="1:25" ht="17.25" customHeight="1" thickBot="1">
      <c r="A204" s="33" t="s">
        <v>211</v>
      </c>
      <c r="B204" s="33" t="s">
        <v>212</v>
      </c>
      <c r="C204" s="76"/>
      <c r="D204" s="76"/>
      <c r="E204" s="66"/>
      <c r="F204" s="28"/>
      <c r="G204" s="37" t="s">
        <v>229</v>
      </c>
      <c r="H204" s="38" t="s">
        <v>20</v>
      </c>
      <c r="I204" s="33" t="s">
        <v>108</v>
      </c>
      <c r="J204" s="33" t="s">
        <v>41</v>
      </c>
      <c r="K204" s="32" t="s">
        <v>271</v>
      </c>
      <c r="L204" s="28"/>
      <c r="M204" s="28"/>
      <c r="N204" s="28"/>
      <c r="O204" s="28"/>
      <c r="P204" s="28">
        <v>30</v>
      </c>
      <c r="Q204" s="28"/>
      <c r="R204" s="28"/>
      <c r="S204" s="28"/>
      <c r="T204" s="28"/>
      <c r="U204" s="28">
        <v>1</v>
      </c>
      <c r="V204" s="28">
        <f t="shared" si="17"/>
        <v>30</v>
      </c>
      <c r="W204" s="39">
        <v>6.3</v>
      </c>
      <c r="X204" s="31" t="s">
        <v>19</v>
      </c>
      <c r="Y204" s="39">
        <f t="shared" si="18"/>
        <v>5.0999999999999996</v>
      </c>
    </row>
    <row r="205" spans="1:25" ht="17.25" customHeight="1" thickBot="1">
      <c r="A205" s="33" t="s">
        <v>211</v>
      </c>
      <c r="B205" s="33" t="s">
        <v>212</v>
      </c>
      <c r="C205" s="76"/>
      <c r="D205" s="76"/>
      <c r="E205" s="66"/>
      <c r="F205" s="28"/>
      <c r="G205" s="37" t="s">
        <v>229</v>
      </c>
      <c r="H205" s="38" t="s">
        <v>20</v>
      </c>
      <c r="I205" s="33" t="s">
        <v>110</v>
      </c>
      <c r="J205" s="33" t="s">
        <v>41</v>
      </c>
      <c r="K205" s="32" t="s">
        <v>271</v>
      </c>
      <c r="L205" s="28"/>
      <c r="M205" s="28"/>
      <c r="N205" s="28"/>
      <c r="O205" s="28"/>
      <c r="P205" s="28">
        <v>30</v>
      </c>
      <c r="Q205" s="28"/>
      <c r="R205" s="28"/>
      <c r="S205" s="28"/>
      <c r="T205" s="28"/>
      <c r="U205" s="28">
        <v>1</v>
      </c>
      <c r="V205" s="28">
        <f t="shared" si="17"/>
        <v>30</v>
      </c>
      <c r="W205" s="39">
        <v>6.3</v>
      </c>
      <c r="X205" s="31" t="s">
        <v>19</v>
      </c>
      <c r="Y205" s="39">
        <f t="shared" si="18"/>
        <v>5.0999999999999996</v>
      </c>
    </row>
    <row r="206" spans="1:25" ht="17.25" customHeight="1" thickBot="1">
      <c r="A206" s="33" t="s">
        <v>211</v>
      </c>
      <c r="B206" s="33" t="s">
        <v>212</v>
      </c>
      <c r="C206" s="76"/>
      <c r="D206" s="76"/>
      <c r="E206" s="66"/>
      <c r="F206" s="28"/>
      <c r="G206" s="37" t="s">
        <v>229</v>
      </c>
      <c r="H206" s="38" t="s">
        <v>20</v>
      </c>
      <c r="I206" s="33" t="s">
        <v>111</v>
      </c>
      <c r="J206" s="33" t="s">
        <v>41</v>
      </c>
      <c r="K206" s="32" t="s">
        <v>271</v>
      </c>
      <c r="L206" s="28"/>
      <c r="M206" s="28"/>
      <c r="N206" s="28"/>
      <c r="O206" s="28"/>
      <c r="P206" s="28">
        <v>20</v>
      </c>
      <c r="Q206" s="28"/>
      <c r="R206" s="28"/>
      <c r="S206" s="28"/>
      <c r="T206" s="28"/>
      <c r="U206" s="28">
        <v>1</v>
      </c>
      <c r="V206" s="28">
        <f t="shared" si="17"/>
        <v>20</v>
      </c>
      <c r="W206" s="39">
        <v>4.5</v>
      </c>
      <c r="X206" s="31" t="s">
        <v>23</v>
      </c>
      <c r="Y206" s="39">
        <f>W206-1.1</f>
        <v>3.4</v>
      </c>
    </row>
    <row r="207" spans="1:25" ht="17.25" customHeight="1" thickBot="1">
      <c r="A207" s="33" t="s">
        <v>211</v>
      </c>
      <c r="B207" s="33" t="s">
        <v>212</v>
      </c>
      <c r="C207" s="76"/>
      <c r="D207" s="76"/>
      <c r="E207" s="66"/>
      <c r="F207" s="28"/>
      <c r="G207" s="37" t="s">
        <v>230</v>
      </c>
      <c r="H207" s="38" t="s">
        <v>20</v>
      </c>
      <c r="I207" s="33" t="s">
        <v>112</v>
      </c>
      <c r="J207" s="33" t="s">
        <v>41</v>
      </c>
      <c r="K207" s="32" t="s">
        <v>271</v>
      </c>
      <c r="L207" s="28"/>
      <c r="M207" s="28"/>
      <c r="N207" s="28"/>
      <c r="O207" s="28"/>
      <c r="P207" s="28"/>
      <c r="Q207" s="28">
        <v>20</v>
      </c>
      <c r="R207" s="28"/>
      <c r="S207" s="28"/>
      <c r="T207" s="28"/>
      <c r="U207" s="28">
        <v>1</v>
      </c>
      <c r="V207" s="28">
        <f t="shared" si="17"/>
        <v>20</v>
      </c>
      <c r="W207" s="39">
        <v>4.8</v>
      </c>
      <c r="X207" s="31" t="s">
        <v>19</v>
      </c>
      <c r="Y207" s="39">
        <f>W207-1.2</f>
        <v>3.5999999999999996</v>
      </c>
    </row>
    <row r="208" spans="1:25" ht="17.25" customHeight="1" thickBot="1">
      <c r="A208" s="33" t="s">
        <v>211</v>
      </c>
      <c r="B208" s="33" t="s">
        <v>212</v>
      </c>
      <c r="C208" s="76"/>
      <c r="D208" s="76"/>
      <c r="E208" s="66"/>
      <c r="F208" s="28"/>
      <c r="G208" s="37" t="s">
        <v>230</v>
      </c>
      <c r="H208" s="38" t="s">
        <v>20</v>
      </c>
      <c r="I208" s="33" t="s">
        <v>113</v>
      </c>
      <c r="J208" s="33" t="s">
        <v>41</v>
      </c>
      <c r="K208" s="32" t="s">
        <v>271</v>
      </c>
      <c r="L208" s="28"/>
      <c r="M208" s="28"/>
      <c r="N208" s="28"/>
      <c r="O208" s="28"/>
      <c r="P208" s="28"/>
      <c r="Q208" s="28">
        <v>20</v>
      </c>
      <c r="R208" s="28"/>
      <c r="S208" s="28"/>
      <c r="T208" s="28"/>
      <c r="U208" s="28">
        <v>1</v>
      </c>
      <c r="V208" s="28">
        <f t="shared" si="17"/>
        <v>20</v>
      </c>
      <c r="W208" s="39">
        <v>4.8</v>
      </c>
      <c r="X208" s="31" t="s">
        <v>19</v>
      </c>
      <c r="Y208" s="39">
        <f>W208-1.2</f>
        <v>3.5999999999999996</v>
      </c>
    </row>
    <row r="209" spans="1:25" ht="17.25" customHeight="1" thickBot="1">
      <c r="A209" s="33" t="s">
        <v>211</v>
      </c>
      <c r="B209" s="33" t="s">
        <v>212</v>
      </c>
      <c r="C209" s="76"/>
      <c r="D209" s="76"/>
      <c r="E209" s="66"/>
      <c r="F209" s="28"/>
      <c r="G209" s="37" t="s">
        <v>230</v>
      </c>
      <c r="H209" s="38" t="s">
        <v>20</v>
      </c>
      <c r="I209" s="33" t="s">
        <v>115</v>
      </c>
      <c r="J209" s="33" t="s">
        <v>41</v>
      </c>
      <c r="K209" s="32" t="s">
        <v>271</v>
      </c>
      <c r="L209" s="28"/>
      <c r="M209" s="28"/>
      <c r="N209" s="28"/>
      <c r="O209" s="28"/>
      <c r="P209" s="28"/>
      <c r="Q209" s="28">
        <v>20</v>
      </c>
      <c r="R209" s="28"/>
      <c r="S209" s="28"/>
      <c r="T209" s="28"/>
      <c r="U209" s="28">
        <v>1</v>
      </c>
      <c r="V209" s="28">
        <f t="shared" si="17"/>
        <v>20</v>
      </c>
      <c r="W209" s="39">
        <v>4.8</v>
      </c>
      <c r="X209" s="31" t="s">
        <v>19</v>
      </c>
      <c r="Y209" s="39">
        <f>W209-1.2</f>
        <v>3.5999999999999996</v>
      </c>
    </row>
    <row r="210" spans="1:25" ht="17.25" customHeight="1" thickBot="1">
      <c r="A210" s="33" t="s">
        <v>211</v>
      </c>
      <c r="B210" s="33" t="s">
        <v>212</v>
      </c>
      <c r="C210" s="76"/>
      <c r="D210" s="76"/>
      <c r="E210" s="66"/>
      <c r="F210" s="28"/>
      <c r="G210" s="37" t="s">
        <v>230</v>
      </c>
      <c r="H210" s="38" t="s">
        <v>20</v>
      </c>
      <c r="I210" s="33" t="s">
        <v>116</v>
      </c>
      <c r="J210" s="33" t="s">
        <v>41</v>
      </c>
      <c r="K210" s="32" t="s">
        <v>271</v>
      </c>
      <c r="L210" s="28"/>
      <c r="M210" s="28"/>
      <c r="N210" s="28"/>
      <c r="O210" s="28"/>
      <c r="P210" s="28"/>
      <c r="Q210" s="28">
        <v>20</v>
      </c>
      <c r="R210" s="28"/>
      <c r="S210" s="28"/>
      <c r="T210" s="28"/>
      <c r="U210" s="28">
        <v>1</v>
      </c>
      <c r="V210" s="28">
        <f t="shared" si="17"/>
        <v>20</v>
      </c>
      <c r="W210" s="39">
        <v>4.8</v>
      </c>
      <c r="X210" s="31" t="s">
        <v>19</v>
      </c>
      <c r="Y210" s="39">
        <f>W210-1.2</f>
        <v>3.5999999999999996</v>
      </c>
    </row>
    <row r="211" spans="1:25" ht="17.25" customHeight="1" thickBot="1">
      <c r="A211" s="33" t="s">
        <v>211</v>
      </c>
      <c r="B211" s="33" t="s">
        <v>212</v>
      </c>
      <c r="C211" s="76"/>
      <c r="D211" s="76"/>
      <c r="E211" s="66"/>
      <c r="F211" s="28"/>
      <c r="G211" s="37" t="s">
        <v>230</v>
      </c>
      <c r="H211" s="38" t="s">
        <v>20</v>
      </c>
      <c r="I211" s="33" t="s">
        <v>117</v>
      </c>
      <c r="J211" s="33" t="s">
        <v>41</v>
      </c>
      <c r="K211" s="32" t="s">
        <v>271</v>
      </c>
      <c r="L211" s="28"/>
      <c r="M211" s="28"/>
      <c r="N211" s="28"/>
      <c r="O211" s="28"/>
      <c r="P211" s="28"/>
      <c r="Q211" s="28">
        <v>20</v>
      </c>
      <c r="R211" s="28"/>
      <c r="S211" s="28"/>
      <c r="T211" s="28"/>
      <c r="U211" s="28">
        <v>1</v>
      </c>
      <c r="V211" s="28">
        <f t="shared" si="17"/>
        <v>20</v>
      </c>
      <c r="W211" s="39">
        <v>4.8</v>
      </c>
      <c r="X211" s="31" t="s">
        <v>19</v>
      </c>
      <c r="Y211" s="39">
        <f>W211-1.2</f>
        <v>3.5999999999999996</v>
      </c>
    </row>
    <row r="212" spans="1:25" ht="17.25" customHeight="1" thickBot="1">
      <c r="A212" s="33" t="s">
        <v>211</v>
      </c>
      <c r="B212" s="33" t="s">
        <v>212</v>
      </c>
      <c r="C212" s="76"/>
      <c r="D212" s="76"/>
      <c r="E212" s="66"/>
      <c r="F212" s="28"/>
      <c r="G212" s="37" t="s">
        <v>230</v>
      </c>
      <c r="H212" s="38" t="s">
        <v>20</v>
      </c>
      <c r="I212" s="33" t="s">
        <v>119</v>
      </c>
      <c r="J212" s="33" t="s">
        <v>41</v>
      </c>
      <c r="K212" s="32" t="s">
        <v>271</v>
      </c>
      <c r="L212" s="28"/>
      <c r="M212" s="28"/>
      <c r="N212" s="28"/>
      <c r="O212" s="28"/>
      <c r="P212" s="28"/>
      <c r="Q212" s="28">
        <v>5</v>
      </c>
      <c r="R212" s="28"/>
      <c r="S212" s="28"/>
      <c r="T212" s="28"/>
      <c r="U212" s="28">
        <v>1</v>
      </c>
      <c r="V212" s="28">
        <f t="shared" si="17"/>
        <v>5</v>
      </c>
      <c r="W212" s="39">
        <v>1.8</v>
      </c>
      <c r="X212" s="31" t="s">
        <v>24</v>
      </c>
      <c r="Y212" s="39">
        <f>W212-0.9</f>
        <v>0.9</v>
      </c>
    </row>
    <row r="213" spans="1:25" ht="17.25" customHeight="1" thickBot="1">
      <c r="A213" s="33" t="s">
        <v>211</v>
      </c>
      <c r="B213" s="33" t="s">
        <v>212</v>
      </c>
      <c r="C213" s="76"/>
      <c r="D213" s="76"/>
      <c r="E213" s="66"/>
      <c r="F213" s="28"/>
      <c r="G213" s="37" t="s">
        <v>231</v>
      </c>
      <c r="H213" s="38" t="s">
        <v>20</v>
      </c>
      <c r="I213" s="33" t="s">
        <v>120</v>
      </c>
      <c r="J213" s="33" t="s">
        <v>41</v>
      </c>
      <c r="K213" s="32" t="s">
        <v>271</v>
      </c>
      <c r="L213" s="28"/>
      <c r="M213" s="28"/>
      <c r="N213" s="28"/>
      <c r="O213" s="28"/>
      <c r="P213" s="28"/>
      <c r="Q213" s="28"/>
      <c r="R213" s="28">
        <v>15</v>
      </c>
      <c r="S213" s="28"/>
      <c r="T213" s="28"/>
      <c r="U213" s="28">
        <v>1</v>
      </c>
      <c r="V213" s="28">
        <f t="shared" si="17"/>
        <v>15</v>
      </c>
      <c r="W213" s="39">
        <v>4.3499999999999996</v>
      </c>
      <c r="X213" s="31" t="s">
        <v>19</v>
      </c>
      <c r="Y213" s="39">
        <f>W213-1.2</f>
        <v>3.1499999999999995</v>
      </c>
    </row>
    <row r="214" spans="1:25" ht="17.25" customHeight="1" thickBot="1">
      <c r="A214" s="33" t="s">
        <v>211</v>
      </c>
      <c r="B214" s="33" t="s">
        <v>212</v>
      </c>
      <c r="C214" s="76"/>
      <c r="D214" s="76"/>
      <c r="E214" s="66"/>
      <c r="F214" s="28"/>
      <c r="G214" s="37" t="s">
        <v>231</v>
      </c>
      <c r="H214" s="38" t="s">
        <v>20</v>
      </c>
      <c r="I214" s="33" t="s">
        <v>122</v>
      </c>
      <c r="J214" s="33" t="s">
        <v>41</v>
      </c>
      <c r="K214" s="32" t="s">
        <v>271</v>
      </c>
      <c r="L214" s="28"/>
      <c r="M214" s="28"/>
      <c r="N214" s="28"/>
      <c r="O214" s="28"/>
      <c r="P214" s="28"/>
      <c r="Q214" s="28"/>
      <c r="R214" s="28">
        <v>15</v>
      </c>
      <c r="S214" s="28"/>
      <c r="T214" s="28"/>
      <c r="U214" s="28">
        <v>1</v>
      </c>
      <c r="V214" s="28">
        <f t="shared" si="17"/>
        <v>15</v>
      </c>
      <c r="W214" s="39">
        <v>4.3499999999999996</v>
      </c>
      <c r="X214" s="31" t="s">
        <v>19</v>
      </c>
      <c r="Y214" s="39">
        <f>W214-1.2</f>
        <v>3.1499999999999995</v>
      </c>
    </row>
    <row r="215" spans="1:25" ht="17.25" customHeight="1" thickBot="1">
      <c r="A215" s="33" t="s">
        <v>211</v>
      </c>
      <c r="B215" s="33" t="s">
        <v>212</v>
      </c>
      <c r="C215" s="76"/>
      <c r="D215" s="76"/>
      <c r="E215" s="66"/>
      <c r="F215" s="28"/>
      <c r="G215" s="37" t="s">
        <v>231</v>
      </c>
      <c r="H215" s="38" t="s">
        <v>20</v>
      </c>
      <c r="I215" s="33" t="s">
        <v>123</v>
      </c>
      <c r="J215" s="33" t="s">
        <v>41</v>
      </c>
      <c r="K215" s="32" t="s">
        <v>271</v>
      </c>
      <c r="L215" s="28"/>
      <c r="M215" s="28"/>
      <c r="N215" s="28"/>
      <c r="O215" s="28"/>
      <c r="P215" s="28"/>
      <c r="Q215" s="28"/>
      <c r="R215" s="28">
        <v>15</v>
      </c>
      <c r="S215" s="28"/>
      <c r="T215" s="28"/>
      <c r="U215" s="28">
        <v>1</v>
      </c>
      <c r="V215" s="28">
        <f t="shared" si="17"/>
        <v>15</v>
      </c>
      <c r="W215" s="39">
        <v>4.3499999999999996</v>
      </c>
      <c r="X215" s="31" t="s">
        <v>19</v>
      </c>
      <c r="Y215" s="39">
        <f>W215-1.2</f>
        <v>3.1499999999999995</v>
      </c>
    </row>
    <row r="216" spans="1:25" ht="17.25" customHeight="1" thickBot="1">
      <c r="A216" s="33" t="s">
        <v>211</v>
      </c>
      <c r="B216" s="33" t="s">
        <v>212</v>
      </c>
      <c r="C216" s="76"/>
      <c r="D216" s="76"/>
      <c r="E216" s="66"/>
      <c r="F216" s="28"/>
      <c r="G216" s="37" t="s">
        <v>231</v>
      </c>
      <c r="H216" s="38" t="s">
        <v>20</v>
      </c>
      <c r="I216" s="33" t="s">
        <v>125</v>
      </c>
      <c r="J216" s="33" t="s">
        <v>41</v>
      </c>
      <c r="K216" s="32" t="s">
        <v>271</v>
      </c>
      <c r="L216" s="28"/>
      <c r="M216" s="28"/>
      <c r="N216" s="28"/>
      <c r="O216" s="28"/>
      <c r="P216" s="28"/>
      <c r="Q216" s="28"/>
      <c r="R216" s="28">
        <v>5</v>
      </c>
      <c r="S216" s="28"/>
      <c r="T216" s="28"/>
      <c r="U216" s="28">
        <v>1</v>
      </c>
      <c r="V216" s="28">
        <f t="shared" si="17"/>
        <v>5</v>
      </c>
      <c r="W216" s="39">
        <v>1.95</v>
      </c>
      <c r="X216" s="31" t="s">
        <v>24</v>
      </c>
      <c r="Y216" s="39">
        <f>W216-0.9</f>
        <v>1.0499999999999998</v>
      </c>
    </row>
    <row r="217" spans="1:25" ht="17.25" customHeight="1" thickBot="1">
      <c r="A217" s="33" t="s">
        <v>211</v>
      </c>
      <c r="B217" s="33" t="s">
        <v>212</v>
      </c>
      <c r="C217" s="76"/>
      <c r="D217" s="76"/>
      <c r="E217" s="66"/>
      <c r="F217" s="28"/>
      <c r="G217" s="37" t="s">
        <v>232</v>
      </c>
      <c r="H217" s="38" t="s">
        <v>20</v>
      </c>
      <c r="I217" s="33" t="s">
        <v>127</v>
      </c>
      <c r="J217" s="33" t="s">
        <v>41</v>
      </c>
      <c r="K217" s="32" t="s">
        <v>271</v>
      </c>
      <c r="L217" s="28"/>
      <c r="M217" s="28"/>
      <c r="N217" s="28"/>
      <c r="O217" s="28"/>
      <c r="P217" s="28"/>
      <c r="Q217" s="28"/>
      <c r="R217" s="28"/>
      <c r="S217" s="28">
        <v>15</v>
      </c>
      <c r="T217" s="28"/>
      <c r="U217" s="28">
        <v>1</v>
      </c>
      <c r="V217" s="28">
        <f t="shared" si="17"/>
        <v>15</v>
      </c>
      <c r="W217" s="39">
        <v>4.6500000000000004</v>
      </c>
      <c r="X217" s="31" t="s">
        <v>19</v>
      </c>
      <c r="Y217" s="39">
        <f>W217-1.2</f>
        <v>3.45</v>
      </c>
    </row>
    <row r="218" spans="1:25" ht="17.25" customHeight="1" thickBot="1">
      <c r="A218" s="33" t="s">
        <v>211</v>
      </c>
      <c r="B218" s="33" t="s">
        <v>212</v>
      </c>
      <c r="C218" s="76"/>
      <c r="D218" s="76"/>
      <c r="E218" s="66"/>
      <c r="F218" s="28"/>
      <c r="G218" s="37" t="s">
        <v>232</v>
      </c>
      <c r="H218" s="38" t="s">
        <v>20</v>
      </c>
      <c r="I218" s="33" t="s">
        <v>128</v>
      </c>
      <c r="J218" s="33" t="s">
        <v>41</v>
      </c>
      <c r="K218" s="32" t="s">
        <v>271</v>
      </c>
      <c r="L218" s="28"/>
      <c r="M218" s="28"/>
      <c r="N218" s="28"/>
      <c r="O218" s="28"/>
      <c r="P218" s="28"/>
      <c r="Q218" s="28"/>
      <c r="R218" s="28"/>
      <c r="S218" s="28">
        <v>5</v>
      </c>
      <c r="T218" s="28"/>
      <c r="U218" s="28">
        <v>1</v>
      </c>
      <c r="V218" s="28">
        <f t="shared" ref="V218:V249" si="19">SUM(L218:T218)</f>
        <v>5</v>
      </c>
      <c r="W218" s="39">
        <v>2.0499999999999998</v>
      </c>
      <c r="X218" s="31" t="s">
        <v>24</v>
      </c>
      <c r="Y218" s="39">
        <f>W218-0.9</f>
        <v>1.1499999999999999</v>
      </c>
    </row>
    <row r="219" spans="1:25" ht="17.25" customHeight="1" thickBot="1">
      <c r="A219" s="33" t="s">
        <v>211</v>
      </c>
      <c r="B219" s="33" t="s">
        <v>212</v>
      </c>
      <c r="C219" s="76"/>
      <c r="D219" s="76"/>
      <c r="E219" s="66"/>
      <c r="F219" s="28"/>
      <c r="G219" s="37" t="s">
        <v>233</v>
      </c>
      <c r="H219" s="38" t="s">
        <v>20</v>
      </c>
      <c r="I219" s="33" t="s">
        <v>129</v>
      </c>
      <c r="J219" s="33" t="s">
        <v>41</v>
      </c>
      <c r="K219" s="32" t="s">
        <v>271</v>
      </c>
      <c r="L219" s="28"/>
      <c r="M219" s="28"/>
      <c r="N219" s="28"/>
      <c r="O219" s="28"/>
      <c r="P219" s="28"/>
      <c r="Q219" s="28"/>
      <c r="R219" s="28"/>
      <c r="S219" s="28"/>
      <c r="T219" s="28">
        <v>15</v>
      </c>
      <c r="U219" s="28">
        <v>1</v>
      </c>
      <c r="V219" s="28">
        <f t="shared" si="19"/>
        <v>15</v>
      </c>
      <c r="W219" s="39">
        <v>4.8</v>
      </c>
      <c r="X219" s="31" t="s">
        <v>19</v>
      </c>
      <c r="Y219" s="39">
        <f>W219-1.2</f>
        <v>3.5999999999999996</v>
      </c>
    </row>
    <row r="220" spans="1:25" ht="17.25" customHeight="1" thickBot="1">
      <c r="A220" s="33" t="s">
        <v>211</v>
      </c>
      <c r="B220" s="33" t="s">
        <v>212</v>
      </c>
      <c r="C220" s="76"/>
      <c r="D220" s="76"/>
      <c r="E220" s="66"/>
      <c r="F220" s="28"/>
      <c r="G220" s="37" t="s">
        <v>233</v>
      </c>
      <c r="H220" s="38" t="s">
        <v>20</v>
      </c>
      <c r="I220" s="33" t="s">
        <v>131</v>
      </c>
      <c r="J220" s="33" t="s">
        <v>41</v>
      </c>
      <c r="K220" s="32" t="s">
        <v>271</v>
      </c>
      <c r="L220" s="28"/>
      <c r="M220" s="28"/>
      <c r="N220" s="28"/>
      <c r="O220" s="28"/>
      <c r="P220" s="28"/>
      <c r="Q220" s="28"/>
      <c r="R220" s="28"/>
      <c r="S220" s="28"/>
      <c r="T220" s="28">
        <v>5</v>
      </c>
      <c r="U220" s="28">
        <v>1</v>
      </c>
      <c r="V220" s="28">
        <f t="shared" si="19"/>
        <v>5</v>
      </c>
      <c r="W220" s="39">
        <v>2.1</v>
      </c>
      <c r="X220" s="31" t="s">
        <v>24</v>
      </c>
      <c r="Y220" s="39">
        <f>W220-0.9</f>
        <v>1.2000000000000002</v>
      </c>
    </row>
    <row r="221" spans="1:25" ht="17.25" customHeight="1" thickBot="1">
      <c r="A221" s="33" t="s">
        <v>211</v>
      </c>
      <c r="B221" s="33" t="s">
        <v>212</v>
      </c>
      <c r="C221" s="76"/>
      <c r="D221" s="76"/>
      <c r="E221" s="66"/>
      <c r="F221" s="28"/>
      <c r="G221" s="37" t="s">
        <v>234</v>
      </c>
      <c r="H221" s="38" t="s">
        <v>20</v>
      </c>
      <c r="I221" s="33" t="s">
        <v>132</v>
      </c>
      <c r="J221" s="33" t="s">
        <v>41</v>
      </c>
      <c r="K221" s="32" t="s">
        <v>272</v>
      </c>
      <c r="L221" s="28"/>
      <c r="M221" s="28"/>
      <c r="N221" s="28"/>
      <c r="O221" s="28">
        <v>30</v>
      </c>
      <c r="P221" s="28"/>
      <c r="Q221" s="28"/>
      <c r="R221" s="28"/>
      <c r="S221" s="28"/>
      <c r="T221" s="28"/>
      <c r="U221" s="28">
        <v>1</v>
      </c>
      <c r="V221" s="28">
        <f t="shared" si="19"/>
        <v>30</v>
      </c>
      <c r="W221" s="39">
        <v>6.3</v>
      </c>
      <c r="X221" s="31" t="s">
        <v>19</v>
      </c>
      <c r="Y221" s="39">
        <f>W221-1.2</f>
        <v>5.0999999999999996</v>
      </c>
    </row>
    <row r="222" spans="1:25" ht="17.25" customHeight="1" thickBot="1">
      <c r="A222" s="33" t="s">
        <v>211</v>
      </c>
      <c r="B222" s="33" t="s">
        <v>212</v>
      </c>
      <c r="C222" s="76"/>
      <c r="D222" s="76"/>
      <c r="E222" s="66"/>
      <c r="F222" s="28"/>
      <c r="G222" s="37" t="s">
        <v>234</v>
      </c>
      <c r="H222" s="38" t="s">
        <v>20</v>
      </c>
      <c r="I222" s="33" t="s">
        <v>133</v>
      </c>
      <c r="J222" s="33" t="s">
        <v>41</v>
      </c>
      <c r="K222" s="32" t="s">
        <v>272</v>
      </c>
      <c r="L222" s="28"/>
      <c r="M222" s="28"/>
      <c r="N222" s="28"/>
      <c r="O222" s="28">
        <v>30</v>
      </c>
      <c r="P222" s="28"/>
      <c r="Q222" s="28"/>
      <c r="R222" s="28"/>
      <c r="S222" s="28"/>
      <c r="T222" s="28"/>
      <c r="U222" s="28">
        <v>1</v>
      </c>
      <c r="V222" s="28">
        <f t="shared" si="19"/>
        <v>30</v>
      </c>
      <c r="W222" s="39">
        <v>6.3</v>
      </c>
      <c r="X222" s="31" t="s">
        <v>19</v>
      </c>
      <c r="Y222" s="39">
        <f>W222-1.2</f>
        <v>5.0999999999999996</v>
      </c>
    </row>
    <row r="223" spans="1:25" ht="17.25" customHeight="1" thickBot="1">
      <c r="A223" s="33" t="s">
        <v>211</v>
      </c>
      <c r="B223" s="33" t="s">
        <v>212</v>
      </c>
      <c r="C223" s="76"/>
      <c r="D223" s="76"/>
      <c r="E223" s="66"/>
      <c r="F223" s="28"/>
      <c r="G223" s="37" t="s">
        <v>234</v>
      </c>
      <c r="H223" s="38" t="s">
        <v>20</v>
      </c>
      <c r="I223" s="33" t="s">
        <v>134</v>
      </c>
      <c r="J223" s="33" t="s">
        <v>41</v>
      </c>
      <c r="K223" s="32" t="s">
        <v>272</v>
      </c>
      <c r="L223" s="28"/>
      <c r="M223" s="28"/>
      <c r="N223" s="28"/>
      <c r="O223" s="28">
        <v>10</v>
      </c>
      <c r="P223" s="28"/>
      <c r="Q223" s="28"/>
      <c r="R223" s="28"/>
      <c r="S223" s="28"/>
      <c r="T223" s="28"/>
      <c r="U223" s="28">
        <v>1</v>
      </c>
      <c r="V223" s="28">
        <f t="shared" si="19"/>
        <v>10</v>
      </c>
      <c r="W223" s="39">
        <v>2.6</v>
      </c>
      <c r="X223" s="31" t="s">
        <v>24</v>
      </c>
      <c r="Y223" s="39">
        <f>W223-0.9</f>
        <v>1.7000000000000002</v>
      </c>
    </row>
    <row r="224" spans="1:25" ht="17.25" customHeight="1" thickBot="1">
      <c r="A224" s="33" t="s">
        <v>211</v>
      </c>
      <c r="B224" s="33" t="s">
        <v>212</v>
      </c>
      <c r="C224" s="76"/>
      <c r="D224" s="76"/>
      <c r="E224" s="66"/>
      <c r="F224" s="28"/>
      <c r="G224" s="37" t="s">
        <v>235</v>
      </c>
      <c r="H224" s="38" t="s">
        <v>20</v>
      </c>
      <c r="I224" s="33" t="s">
        <v>135</v>
      </c>
      <c r="J224" s="33" t="s">
        <v>41</v>
      </c>
      <c r="K224" s="32" t="s">
        <v>272</v>
      </c>
      <c r="L224" s="28"/>
      <c r="M224" s="28"/>
      <c r="N224" s="28"/>
      <c r="O224" s="28"/>
      <c r="P224" s="28">
        <v>20</v>
      </c>
      <c r="Q224" s="28"/>
      <c r="R224" s="28"/>
      <c r="S224" s="28"/>
      <c r="T224" s="28"/>
      <c r="U224" s="28">
        <v>1</v>
      </c>
      <c r="V224" s="28">
        <f t="shared" si="19"/>
        <v>20</v>
      </c>
      <c r="W224" s="39">
        <v>5</v>
      </c>
      <c r="X224" s="31" t="s">
        <v>19</v>
      </c>
      <c r="Y224" s="39">
        <f>W224-1.2</f>
        <v>3.8</v>
      </c>
    </row>
    <row r="225" spans="1:25" ht="17.25" customHeight="1" thickBot="1">
      <c r="A225" s="33" t="s">
        <v>211</v>
      </c>
      <c r="B225" s="33" t="s">
        <v>212</v>
      </c>
      <c r="C225" s="76"/>
      <c r="D225" s="76"/>
      <c r="E225" s="66"/>
      <c r="F225" s="28"/>
      <c r="G225" s="37" t="s">
        <v>235</v>
      </c>
      <c r="H225" s="38" t="s">
        <v>20</v>
      </c>
      <c r="I225" s="33" t="s">
        <v>136</v>
      </c>
      <c r="J225" s="33" t="s">
        <v>41</v>
      </c>
      <c r="K225" s="32" t="s">
        <v>272</v>
      </c>
      <c r="L225" s="28"/>
      <c r="M225" s="28"/>
      <c r="N225" s="28"/>
      <c r="O225" s="28"/>
      <c r="P225" s="28">
        <v>20</v>
      </c>
      <c r="Q225" s="28"/>
      <c r="R225" s="28"/>
      <c r="S225" s="28"/>
      <c r="T225" s="28"/>
      <c r="U225" s="28">
        <v>1</v>
      </c>
      <c r="V225" s="28">
        <f t="shared" si="19"/>
        <v>20</v>
      </c>
      <c r="W225" s="39">
        <v>5</v>
      </c>
      <c r="X225" s="31" t="s">
        <v>19</v>
      </c>
      <c r="Y225" s="39">
        <f>W225-1.2</f>
        <v>3.8</v>
      </c>
    </row>
    <row r="226" spans="1:25" ht="17.25" customHeight="1" thickBot="1">
      <c r="A226" s="33" t="s">
        <v>211</v>
      </c>
      <c r="B226" s="33" t="s">
        <v>212</v>
      </c>
      <c r="C226" s="76"/>
      <c r="D226" s="76"/>
      <c r="E226" s="66"/>
      <c r="F226" s="28"/>
      <c r="G226" s="37" t="s">
        <v>235</v>
      </c>
      <c r="H226" s="38" t="s">
        <v>20</v>
      </c>
      <c r="I226" s="33" t="s">
        <v>137</v>
      </c>
      <c r="J226" s="33" t="s">
        <v>41</v>
      </c>
      <c r="K226" s="32" t="s">
        <v>272</v>
      </c>
      <c r="L226" s="28"/>
      <c r="M226" s="28"/>
      <c r="N226" s="28"/>
      <c r="O226" s="28"/>
      <c r="P226" s="28">
        <v>20</v>
      </c>
      <c r="Q226" s="28"/>
      <c r="R226" s="28"/>
      <c r="S226" s="28"/>
      <c r="T226" s="28"/>
      <c r="U226" s="28">
        <v>1</v>
      </c>
      <c r="V226" s="28">
        <f t="shared" si="19"/>
        <v>20</v>
      </c>
      <c r="W226" s="39">
        <v>5</v>
      </c>
      <c r="X226" s="31" t="s">
        <v>19</v>
      </c>
      <c r="Y226" s="39">
        <f>W226-1.2</f>
        <v>3.8</v>
      </c>
    </row>
    <row r="227" spans="1:25" ht="17.25" customHeight="1" thickBot="1">
      <c r="A227" s="33" t="s">
        <v>211</v>
      </c>
      <c r="B227" s="33" t="s">
        <v>212</v>
      </c>
      <c r="C227" s="76"/>
      <c r="D227" s="76"/>
      <c r="E227" s="66"/>
      <c r="F227" s="28"/>
      <c r="G227" s="37" t="s">
        <v>235</v>
      </c>
      <c r="H227" s="38" t="s">
        <v>20</v>
      </c>
      <c r="I227" s="33" t="s">
        <v>138</v>
      </c>
      <c r="J227" s="33" t="s">
        <v>41</v>
      </c>
      <c r="K227" s="32" t="s">
        <v>272</v>
      </c>
      <c r="L227" s="28"/>
      <c r="M227" s="28"/>
      <c r="N227" s="28"/>
      <c r="O227" s="28"/>
      <c r="P227" s="28">
        <v>20</v>
      </c>
      <c r="Q227" s="28"/>
      <c r="R227" s="28"/>
      <c r="S227" s="28"/>
      <c r="T227" s="28"/>
      <c r="U227" s="28">
        <v>1</v>
      </c>
      <c r="V227" s="28">
        <f t="shared" si="19"/>
        <v>20</v>
      </c>
      <c r="W227" s="39">
        <v>5</v>
      </c>
      <c r="X227" s="31" t="s">
        <v>19</v>
      </c>
      <c r="Y227" s="39">
        <f>W227-1.2</f>
        <v>3.8</v>
      </c>
    </row>
    <row r="228" spans="1:25" ht="17.25" customHeight="1" thickBot="1">
      <c r="A228" s="33" t="s">
        <v>211</v>
      </c>
      <c r="B228" s="33" t="s">
        <v>212</v>
      </c>
      <c r="C228" s="76"/>
      <c r="D228" s="76"/>
      <c r="E228" s="66"/>
      <c r="F228" s="28"/>
      <c r="G228" s="37" t="s">
        <v>235</v>
      </c>
      <c r="H228" s="38" t="s">
        <v>20</v>
      </c>
      <c r="I228" s="33" t="s">
        <v>139</v>
      </c>
      <c r="J228" s="33" t="s">
        <v>41</v>
      </c>
      <c r="K228" s="32" t="s">
        <v>272</v>
      </c>
      <c r="L228" s="28"/>
      <c r="M228" s="28"/>
      <c r="N228" s="28"/>
      <c r="O228" s="28"/>
      <c r="P228" s="28">
        <v>20</v>
      </c>
      <c r="Q228" s="28"/>
      <c r="R228" s="28"/>
      <c r="S228" s="28"/>
      <c r="T228" s="28"/>
      <c r="U228" s="28">
        <v>1</v>
      </c>
      <c r="V228" s="28">
        <f t="shared" si="19"/>
        <v>20</v>
      </c>
      <c r="W228" s="39">
        <v>5</v>
      </c>
      <c r="X228" s="31" t="s">
        <v>19</v>
      </c>
      <c r="Y228" s="39">
        <f>W228-1.2</f>
        <v>3.8</v>
      </c>
    </row>
    <row r="229" spans="1:25" ht="17.25" customHeight="1" thickBot="1">
      <c r="A229" s="33" t="s">
        <v>211</v>
      </c>
      <c r="B229" s="33" t="s">
        <v>212</v>
      </c>
      <c r="C229" s="76"/>
      <c r="D229" s="76"/>
      <c r="E229" s="66"/>
      <c r="F229" s="28"/>
      <c r="G229" s="37" t="s">
        <v>235</v>
      </c>
      <c r="H229" s="38" t="s">
        <v>20</v>
      </c>
      <c r="I229" s="33" t="s">
        <v>140</v>
      </c>
      <c r="J229" s="33" t="s">
        <v>41</v>
      </c>
      <c r="K229" s="32" t="s">
        <v>272</v>
      </c>
      <c r="L229" s="28"/>
      <c r="M229" s="28"/>
      <c r="N229" s="28"/>
      <c r="O229" s="28"/>
      <c r="P229" s="28">
        <v>10</v>
      </c>
      <c r="Q229" s="28"/>
      <c r="R229" s="28"/>
      <c r="S229" s="28"/>
      <c r="T229" s="28"/>
      <c r="U229" s="28">
        <v>1</v>
      </c>
      <c r="V229" s="28">
        <f t="shared" si="19"/>
        <v>10</v>
      </c>
      <c r="W229" s="39">
        <v>3</v>
      </c>
      <c r="X229" s="31" t="s">
        <v>23</v>
      </c>
      <c r="Y229" s="39">
        <f>W229-1.1</f>
        <v>1.9</v>
      </c>
    </row>
    <row r="230" spans="1:25" ht="17.25" customHeight="1" thickBot="1">
      <c r="A230" s="33" t="s">
        <v>211</v>
      </c>
      <c r="B230" s="33" t="s">
        <v>212</v>
      </c>
      <c r="C230" s="76"/>
      <c r="D230" s="76"/>
      <c r="E230" s="66"/>
      <c r="F230" s="28"/>
      <c r="G230" s="37" t="s">
        <v>236</v>
      </c>
      <c r="H230" s="38" t="s">
        <v>20</v>
      </c>
      <c r="I230" s="33" t="s">
        <v>142</v>
      </c>
      <c r="J230" s="33" t="s">
        <v>41</v>
      </c>
      <c r="K230" s="32" t="s">
        <v>272</v>
      </c>
      <c r="L230" s="28"/>
      <c r="M230" s="28"/>
      <c r="N230" s="28"/>
      <c r="O230" s="28"/>
      <c r="P230" s="28"/>
      <c r="Q230" s="28">
        <v>20</v>
      </c>
      <c r="R230" s="28"/>
      <c r="S230" s="28"/>
      <c r="T230" s="28"/>
      <c r="U230" s="28">
        <v>1</v>
      </c>
      <c r="V230" s="28">
        <f t="shared" si="19"/>
        <v>20</v>
      </c>
      <c r="W230" s="39">
        <v>5.2</v>
      </c>
      <c r="X230" s="31" t="s">
        <v>19</v>
      </c>
      <c r="Y230" s="39">
        <f t="shared" ref="Y230:Y235" si="20">W230-1.2</f>
        <v>4</v>
      </c>
    </row>
    <row r="231" spans="1:25" ht="17.25" customHeight="1" thickBot="1">
      <c r="A231" s="33" t="s">
        <v>211</v>
      </c>
      <c r="B231" s="33" t="s">
        <v>212</v>
      </c>
      <c r="C231" s="76"/>
      <c r="D231" s="76"/>
      <c r="E231" s="66"/>
      <c r="F231" s="28"/>
      <c r="G231" s="37" t="s">
        <v>236</v>
      </c>
      <c r="H231" s="38" t="s">
        <v>20</v>
      </c>
      <c r="I231" s="33" t="s">
        <v>143</v>
      </c>
      <c r="J231" s="33" t="s">
        <v>41</v>
      </c>
      <c r="K231" s="32" t="s">
        <v>272</v>
      </c>
      <c r="L231" s="28"/>
      <c r="M231" s="28"/>
      <c r="N231" s="28"/>
      <c r="O231" s="28"/>
      <c r="P231" s="28"/>
      <c r="Q231" s="28">
        <v>20</v>
      </c>
      <c r="R231" s="28"/>
      <c r="S231" s="28"/>
      <c r="T231" s="28"/>
      <c r="U231" s="28">
        <v>1</v>
      </c>
      <c r="V231" s="28">
        <f t="shared" si="19"/>
        <v>20</v>
      </c>
      <c r="W231" s="39">
        <v>5.2</v>
      </c>
      <c r="X231" s="31" t="s">
        <v>19</v>
      </c>
      <c r="Y231" s="39">
        <f t="shared" si="20"/>
        <v>4</v>
      </c>
    </row>
    <row r="232" spans="1:25" ht="17.25" customHeight="1" thickBot="1">
      <c r="A232" s="33" t="s">
        <v>211</v>
      </c>
      <c r="B232" s="33" t="s">
        <v>212</v>
      </c>
      <c r="C232" s="76"/>
      <c r="D232" s="76"/>
      <c r="E232" s="66"/>
      <c r="F232" s="28"/>
      <c r="G232" s="37" t="s">
        <v>236</v>
      </c>
      <c r="H232" s="38" t="s">
        <v>20</v>
      </c>
      <c r="I232" s="33" t="s">
        <v>144</v>
      </c>
      <c r="J232" s="33" t="s">
        <v>41</v>
      </c>
      <c r="K232" s="32" t="s">
        <v>272</v>
      </c>
      <c r="L232" s="28"/>
      <c r="M232" s="28"/>
      <c r="N232" s="28"/>
      <c r="O232" s="28"/>
      <c r="P232" s="28"/>
      <c r="Q232" s="28">
        <v>20</v>
      </c>
      <c r="R232" s="28"/>
      <c r="S232" s="28"/>
      <c r="T232" s="28"/>
      <c r="U232" s="28">
        <v>1</v>
      </c>
      <c r="V232" s="28">
        <f t="shared" si="19"/>
        <v>20</v>
      </c>
      <c r="W232" s="39">
        <v>5.2</v>
      </c>
      <c r="X232" s="31" t="s">
        <v>19</v>
      </c>
      <c r="Y232" s="39">
        <f t="shared" si="20"/>
        <v>4</v>
      </c>
    </row>
    <row r="233" spans="1:25" ht="17.25" customHeight="1" thickBot="1">
      <c r="A233" s="33" t="s">
        <v>211</v>
      </c>
      <c r="B233" s="33" t="s">
        <v>212</v>
      </c>
      <c r="C233" s="76"/>
      <c r="D233" s="76"/>
      <c r="E233" s="66"/>
      <c r="F233" s="28"/>
      <c r="G233" s="37" t="s">
        <v>236</v>
      </c>
      <c r="H233" s="38" t="s">
        <v>20</v>
      </c>
      <c r="I233" s="33" t="s">
        <v>145</v>
      </c>
      <c r="J233" s="33" t="s">
        <v>41</v>
      </c>
      <c r="K233" s="32" t="s">
        <v>272</v>
      </c>
      <c r="L233" s="28"/>
      <c r="M233" s="28"/>
      <c r="N233" s="28"/>
      <c r="O233" s="28"/>
      <c r="P233" s="28"/>
      <c r="Q233" s="28">
        <v>20</v>
      </c>
      <c r="R233" s="28"/>
      <c r="S233" s="28"/>
      <c r="T233" s="28"/>
      <c r="U233" s="28">
        <v>1</v>
      </c>
      <c r="V233" s="28">
        <f t="shared" si="19"/>
        <v>20</v>
      </c>
      <c r="W233" s="39">
        <v>5.2</v>
      </c>
      <c r="X233" s="31" t="s">
        <v>19</v>
      </c>
      <c r="Y233" s="39">
        <f t="shared" si="20"/>
        <v>4</v>
      </c>
    </row>
    <row r="234" spans="1:25" ht="17.25" customHeight="1" thickBot="1">
      <c r="A234" s="33" t="s">
        <v>211</v>
      </c>
      <c r="B234" s="33" t="s">
        <v>212</v>
      </c>
      <c r="C234" s="76"/>
      <c r="D234" s="76"/>
      <c r="E234" s="66"/>
      <c r="F234" s="28"/>
      <c r="G234" s="37" t="s">
        <v>236</v>
      </c>
      <c r="H234" s="38" t="s">
        <v>20</v>
      </c>
      <c r="I234" s="33" t="s">
        <v>146</v>
      </c>
      <c r="J234" s="33" t="s">
        <v>41</v>
      </c>
      <c r="K234" s="32" t="s">
        <v>272</v>
      </c>
      <c r="L234" s="28"/>
      <c r="M234" s="28"/>
      <c r="N234" s="28"/>
      <c r="O234" s="28"/>
      <c r="P234" s="28"/>
      <c r="Q234" s="28">
        <v>20</v>
      </c>
      <c r="R234" s="28"/>
      <c r="S234" s="28"/>
      <c r="T234" s="28"/>
      <c r="U234" s="28">
        <v>1</v>
      </c>
      <c r="V234" s="28">
        <f t="shared" si="19"/>
        <v>20</v>
      </c>
      <c r="W234" s="39">
        <v>5.2</v>
      </c>
      <c r="X234" s="31" t="s">
        <v>19</v>
      </c>
      <c r="Y234" s="39">
        <f t="shared" si="20"/>
        <v>4</v>
      </c>
    </row>
    <row r="235" spans="1:25" ht="17.25" customHeight="1" thickBot="1">
      <c r="A235" s="33" t="s">
        <v>211</v>
      </c>
      <c r="B235" s="33" t="s">
        <v>212</v>
      </c>
      <c r="C235" s="76"/>
      <c r="D235" s="76"/>
      <c r="E235" s="66"/>
      <c r="F235" s="28"/>
      <c r="G235" s="37" t="s">
        <v>236</v>
      </c>
      <c r="H235" s="38" t="s">
        <v>20</v>
      </c>
      <c r="I235" s="33" t="s">
        <v>147</v>
      </c>
      <c r="J235" s="33" t="s">
        <v>41</v>
      </c>
      <c r="K235" s="32" t="s">
        <v>272</v>
      </c>
      <c r="L235" s="28"/>
      <c r="M235" s="28"/>
      <c r="N235" s="28"/>
      <c r="O235" s="28"/>
      <c r="P235" s="28"/>
      <c r="Q235" s="28">
        <v>20</v>
      </c>
      <c r="R235" s="28"/>
      <c r="S235" s="28"/>
      <c r="T235" s="28"/>
      <c r="U235" s="28">
        <v>1</v>
      </c>
      <c r="V235" s="28">
        <f t="shared" si="19"/>
        <v>20</v>
      </c>
      <c r="W235" s="39">
        <v>5.2</v>
      </c>
      <c r="X235" s="31" t="s">
        <v>19</v>
      </c>
      <c r="Y235" s="39">
        <f t="shared" si="20"/>
        <v>4</v>
      </c>
    </row>
    <row r="236" spans="1:25" ht="17.25" customHeight="1" thickBot="1">
      <c r="A236" s="33" t="s">
        <v>211</v>
      </c>
      <c r="B236" s="33" t="s">
        <v>212</v>
      </c>
      <c r="C236" s="76"/>
      <c r="D236" s="76"/>
      <c r="E236" s="66"/>
      <c r="F236" s="28"/>
      <c r="G236" s="37" t="s">
        <v>236</v>
      </c>
      <c r="H236" s="38" t="s">
        <v>20</v>
      </c>
      <c r="I236" s="33" t="s">
        <v>148</v>
      </c>
      <c r="J236" s="33" t="s">
        <v>41</v>
      </c>
      <c r="K236" s="32" t="s">
        <v>272</v>
      </c>
      <c r="L236" s="28"/>
      <c r="M236" s="28"/>
      <c r="N236" s="28"/>
      <c r="O236" s="28"/>
      <c r="P236" s="28"/>
      <c r="Q236" s="28">
        <v>5</v>
      </c>
      <c r="R236" s="28"/>
      <c r="S236" s="28"/>
      <c r="T236" s="28"/>
      <c r="U236" s="28">
        <v>1</v>
      </c>
      <c r="V236" s="28">
        <f t="shared" si="19"/>
        <v>5</v>
      </c>
      <c r="W236" s="39">
        <v>1.9</v>
      </c>
      <c r="X236" s="31" t="s">
        <v>24</v>
      </c>
      <c r="Y236" s="39">
        <f>W236-0.9</f>
        <v>0.99999999999999989</v>
      </c>
    </row>
    <row r="237" spans="1:25" ht="17.25" customHeight="1" thickBot="1">
      <c r="A237" s="33" t="s">
        <v>211</v>
      </c>
      <c r="B237" s="33" t="s">
        <v>212</v>
      </c>
      <c r="C237" s="76"/>
      <c r="D237" s="76"/>
      <c r="E237" s="66"/>
      <c r="F237" s="28"/>
      <c r="G237" s="37" t="s">
        <v>237</v>
      </c>
      <c r="H237" s="38" t="s">
        <v>20</v>
      </c>
      <c r="I237" s="33" t="s">
        <v>150</v>
      </c>
      <c r="J237" s="33" t="s">
        <v>41</v>
      </c>
      <c r="K237" s="32" t="s">
        <v>272</v>
      </c>
      <c r="L237" s="28"/>
      <c r="M237" s="28"/>
      <c r="N237" s="28"/>
      <c r="O237" s="28"/>
      <c r="P237" s="28"/>
      <c r="Q237" s="28"/>
      <c r="R237" s="28">
        <v>15</v>
      </c>
      <c r="S237" s="28"/>
      <c r="T237" s="28"/>
      <c r="U237" s="28">
        <v>1</v>
      </c>
      <c r="V237" s="28">
        <f t="shared" si="19"/>
        <v>15</v>
      </c>
      <c r="W237" s="39">
        <v>4.5</v>
      </c>
      <c r="X237" s="31" t="s">
        <v>19</v>
      </c>
      <c r="Y237" s="39">
        <f t="shared" ref="Y237:Y242" si="21">W237-1.2</f>
        <v>3.3</v>
      </c>
    </row>
    <row r="238" spans="1:25" ht="17.25" customHeight="1" thickBot="1">
      <c r="A238" s="33" t="s">
        <v>211</v>
      </c>
      <c r="B238" s="33" t="s">
        <v>212</v>
      </c>
      <c r="C238" s="76"/>
      <c r="D238" s="76"/>
      <c r="E238" s="66"/>
      <c r="F238" s="28"/>
      <c r="G238" s="37" t="s">
        <v>237</v>
      </c>
      <c r="H238" s="38" t="s">
        <v>20</v>
      </c>
      <c r="I238" s="33" t="s">
        <v>151</v>
      </c>
      <c r="J238" s="33" t="s">
        <v>41</v>
      </c>
      <c r="K238" s="32" t="s">
        <v>272</v>
      </c>
      <c r="L238" s="28"/>
      <c r="M238" s="28"/>
      <c r="N238" s="28"/>
      <c r="O238" s="28"/>
      <c r="P238" s="28"/>
      <c r="Q238" s="28"/>
      <c r="R238" s="28">
        <v>15</v>
      </c>
      <c r="S238" s="28"/>
      <c r="T238" s="28"/>
      <c r="U238" s="28">
        <v>1</v>
      </c>
      <c r="V238" s="28">
        <f t="shared" si="19"/>
        <v>15</v>
      </c>
      <c r="W238" s="39">
        <v>4.5</v>
      </c>
      <c r="X238" s="31" t="s">
        <v>19</v>
      </c>
      <c r="Y238" s="39">
        <f t="shared" si="21"/>
        <v>3.3</v>
      </c>
    </row>
    <row r="239" spans="1:25" ht="17.25" customHeight="1" thickBot="1">
      <c r="A239" s="33" t="s">
        <v>211</v>
      </c>
      <c r="B239" s="33" t="s">
        <v>212</v>
      </c>
      <c r="C239" s="76"/>
      <c r="D239" s="76"/>
      <c r="E239" s="66"/>
      <c r="F239" s="28"/>
      <c r="G239" s="37" t="s">
        <v>237</v>
      </c>
      <c r="H239" s="38" t="s">
        <v>20</v>
      </c>
      <c r="I239" s="33" t="s">
        <v>152</v>
      </c>
      <c r="J239" s="33" t="s">
        <v>41</v>
      </c>
      <c r="K239" s="32" t="s">
        <v>272</v>
      </c>
      <c r="L239" s="28"/>
      <c r="M239" s="28"/>
      <c r="N239" s="28"/>
      <c r="O239" s="28"/>
      <c r="P239" s="28"/>
      <c r="Q239" s="28"/>
      <c r="R239" s="28">
        <v>15</v>
      </c>
      <c r="S239" s="28"/>
      <c r="T239" s="28"/>
      <c r="U239" s="28">
        <v>1</v>
      </c>
      <c r="V239" s="28">
        <f t="shared" si="19"/>
        <v>15</v>
      </c>
      <c r="W239" s="39">
        <v>4.5</v>
      </c>
      <c r="X239" s="31" t="s">
        <v>19</v>
      </c>
      <c r="Y239" s="39">
        <f t="shared" si="21"/>
        <v>3.3</v>
      </c>
    </row>
    <row r="240" spans="1:25" ht="17.25" customHeight="1" thickBot="1">
      <c r="A240" s="33" t="s">
        <v>211</v>
      </c>
      <c r="B240" s="33" t="s">
        <v>212</v>
      </c>
      <c r="C240" s="76"/>
      <c r="D240" s="76"/>
      <c r="E240" s="66"/>
      <c r="F240" s="28"/>
      <c r="G240" s="37" t="s">
        <v>237</v>
      </c>
      <c r="H240" s="38" t="s">
        <v>20</v>
      </c>
      <c r="I240" s="33" t="s">
        <v>153</v>
      </c>
      <c r="J240" s="33" t="s">
        <v>41</v>
      </c>
      <c r="K240" s="32" t="s">
        <v>272</v>
      </c>
      <c r="L240" s="28"/>
      <c r="M240" s="28"/>
      <c r="N240" s="28"/>
      <c r="O240" s="28"/>
      <c r="P240" s="28"/>
      <c r="Q240" s="28"/>
      <c r="R240" s="28">
        <v>15</v>
      </c>
      <c r="S240" s="28"/>
      <c r="T240" s="28"/>
      <c r="U240" s="28">
        <v>1</v>
      </c>
      <c r="V240" s="28">
        <f t="shared" si="19"/>
        <v>15</v>
      </c>
      <c r="W240" s="39">
        <v>4.5</v>
      </c>
      <c r="X240" s="31" t="s">
        <v>19</v>
      </c>
      <c r="Y240" s="39">
        <f t="shared" si="21"/>
        <v>3.3</v>
      </c>
    </row>
    <row r="241" spans="1:25" ht="17.25" customHeight="1" thickBot="1">
      <c r="A241" s="33" t="s">
        <v>211</v>
      </c>
      <c r="B241" s="33" t="s">
        <v>212</v>
      </c>
      <c r="C241" s="76"/>
      <c r="D241" s="76"/>
      <c r="E241" s="66"/>
      <c r="F241" s="28"/>
      <c r="G241" s="37" t="s">
        <v>237</v>
      </c>
      <c r="H241" s="38" t="s">
        <v>20</v>
      </c>
      <c r="I241" s="33" t="s">
        <v>154</v>
      </c>
      <c r="J241" s="33" t="s">
        <v>41</v>
      </c>
      <c r="K241" s="32" t="s">
        <v>272</v>
      </c>
      <c r="L241" s="28"/>
      <c r="M241" s="28"/>
      <c r="N241" s="28"/>
      <c r="O241" s="28"/>
      <c r="P241" s="28"/>
      <c r="Q241" s="28"/>
      <c r="R241" s="28">
        <v>15</v>
      </c>
      <c r="S241" s="28"/>
      <c r="T241" s="28"/>
      <c r="U241" s="28">
        <v>1</v>
      </c>
      <c r="V241" s="28">
        <f t="shared" si="19"/>
        <v>15</v>
      </c>
      <c r="W241" s="39">
        <v>4.5</v>
      </c>
      <c r="X241" s="31" t="s">
        <v>19</v>
      </c>
      <c r="Y241" s="39">
        <f t="shared" si="21"/>
        <v>3.3</v>
      </c>
    </row>
    <row r="242" spans="1:25" ht="17.25" customHeight="1" thickBot="1">
      <c r="A242" s="33" t="s">
        <v>211</v>
      </c>
      <c r="B242" s="33" t="s">
        <v>212</v>
      </c>
      <c r="C242" s="76"/>
      <c r="D242" s="76"/>
      <c r="E242" s="66"/>
      <c r="F242" s="28"/>
      <c r="G242" s="37" t="s">
        <v>237</v>
      </c>
      <c r="H242" s="38" t="s">
        <v>20</v>
      </c>
      <c r="I242" s="33" t="s">
        <v>155</v>
      </c>
      <c r="J242" s="33" t="s">
        <v>41</v>
      </c>
      <c r="K242" s="32" t="s">
        <v>272</v>
      </c>
      <c r="L242" s="28"/>
      <c r="M242" s="28"/>
      <c r="N242" s="28"/>
      <c r="O242" s="28"/>
      <c r="P242" s="28"/>
      <c r="Q242" s="28"/>
      <c r="R242" s="28">
        <v>15</v>
      </c>
      <c r="S242" s="28"/>
      <c r="T242" s="28"/>
      <c r="U242" s="28">
        <v>1</v>
      </c>
      <c r="V242" s="28">
        <f t="shared" si="19"/>
        <v>15</v>
      </c>
      <c r="W242" s="39">
        <v>4.5</v>
      </c>
      <c r="X242" s="31" t="s">
        <v>19</v>
      </c>
      <c r="Y242" s="39">
        <f t="shared" si="21"/>
        <v>3.3</v>
      </c>
    </row>
    <row r="243" spans="1:25" ht="17.25" customHeight="1" thickBot="1">
      <c r="A243" s="33" t="s">
        <v>211</v>
      </c>
      <c r="B243" s="33" t="s">
        <v>212</v>
      </c>
      <c r="C243" s="76"/>
      <c r="D243" s="76"/>
      <c r="E243" s="66"/>
      <c r="F243" s="28"/>
      <c r="G243" s="37" t="s">
        <v>237</v>
      </c>
      <c r="H243" s="38" t="s">
        <v>20</v>
      </c>
      <c r="I243" s="33" t="s">
        <v>156</v>
      </c>
      <c r="J243" s="33" t="s">
        <v>41</v>
      </c>
      <c r="K243" s="32" t="s">
        <v>272</v>
      </c>
      <c r="L243" s="28"/>
      <c r="M243" s="28"/>
      <c r="N243" s="28"/>
      <c r="O243" s="28"/>
      <c r="P243" s="28"/>
      <c r="Q243" s="28"/>
      <c r="R243" s="28">
        <v>10</v>
      </c>
      <c r="S243" s="28"/>
      <c r="T243" s="28"/>
      <c r="U243" s="28">
        <v>1</v>
      </c>
      <c r="V243" s="28">
        <f t="shared" si="19"/>
        <v>10</v>
      </c>
      <c r="W243" s="39">
        <v>3.3</v>
      </c>
      <c r="X243" s="31" t="s">
        <v>23</v>
      </c>
      <c r="Y243" s="39">
        <f>W243-1.1</f>
        <v>2.1999999999999997</v>
      </c>
    </row>
    <row r="244" spans="1:25" ht="17.25" customHeight="1" thickBot="1">
      <c r="A244" s="33" t="s">
        <v>211</v>
      </c>
      <c r="B244" s="33" t="s">
        <v>212</v>
      </c>
      <c r="C244" s="76"/>
      <c r="D244" s="76"/>
      <c r="E244" s="66"/>
      <c r="F244" s="28"/>
      <c r="G244" s="37" t="s">
        <v>238</v>
      </c>
      <c r="H244" s="38" t="s">
        <v>20</v>
      </c>
      <c r="I244" s="33" t="s">
        <v>158</v>
      </c>
      <c r="J244" s="33" t="s">
        <v>41</v>
      </c>
      <c r="K244" s="32" t="s">
        <v>272</v>
      </c>
      <c r="L244" s="28"/>
      <c r="M244" s="28"/>
      <c r="N244" s="28"/>
      <c r="O244" s="28"/>
      <c r="P244" s="28"/>
      <c r="Q244" s="28"/>
      <c r="R244" s="28"/>
      <c r="S244" s="28">
        <v>15</v>
      </c>
      <c r="T244" s="28"/>
      <c r="U244" s="28">
        <v>1</v>
      </c>
      <c r="V244" s="28">
        <f t="shared" si="19"/>
        <v>15</v>
      </c>
      <c r="W244" s="39">
        <v>4.6500000000000004</v>
      </c>
      <c r="X244" s="31" t="s">
        <v>19</v>
      </c>
      <c r="Y244" s="39">
        <f>W244-1.2</f>
        <v>3.45</v>
      </c>
    </row>
    <row r="245" spans="1:25" ht="17.25" customHeight="1" thickBot="1">
      <c r="A245" s="33" t="s">
        <v>211</v>
      </c>
      <c r="B245" s="33" t="s">
        <v>212</v>
      </c>
      <c r="C245" s="76"/>
      <c r="D245" s="76"/>
      <c r="E245" s="66"/>
      <c r="F245" s="28"/>
      <c r="G245" s="37" t="s">
        <v>238</v>
      </c>
      <c r="H245" s="38" t="s">
        <v>20</v>
      </c>
      <c r="I245" s="33" t="s">
        <v>159</v>
      </c>
      <c r="J245" s="33" t="s">
        <v>41</v>
      </c>
      <c r="K245" s="32" t="s">
        <v>272</v>
      </c>
      <c r="L245" s="28"/>
      <c r="M245" s="28"/>
      <c r="N245" s="28"/>
      <c r="O245" s="28"/>
      <c r="P245" s="28"/>
      <c r="Q245" s="28"/>
      <c r="R245" s="28"/>
      <c r="S245" s="28">
        <v>15</v>
      </c>
      <c r="T245" s="28"/>
      <c r="U245" s="28">
        <v>1</v>
      </c>
      <c r="V245" s="28">
        <f t="shared" si="19"/>
        <v>15</v>
      </c>
      <c r="W245" s="39">
        <v>4.6500000000000004</v>
      </c>
      <c r="X245" s="31" t="s">
        <v>19</v>
      </c>
      <c r="Y245" s="39">
        <f>W245-1.2</f>
        <v>3.45</v>
      </c>
    </row>
    <row r="246" spans="1:25" ht="17.25" customHeight="1" thickBot="1">
      <c r="A246" s="33" t="s">
        <v>211</v>
      </c>
      <c r="B246" s="33" t="s">
        <v>212</v>
      </c>
      <c r="C246" s="76"/>
      <c r="D246" s="76"/>
      <c r="E246" s="66"/>
      <c r="F246" s="28"/>
      <c r="G246" s="37" t="s">
        <v>239</v>
      </c>
      <c r="H246" s="38" t="s">
        <v>20</v>
      </c>
      <c r="I246" s="33" t="s">
        <v>161</v>
      </c>
      <c r="J246" s="33" t="s">
        <v>41</v>
      </c>
      <c r="K246" s="32" t="s">
        <v>273</v>
      </c>
      <c r="L246" s="28"/>
      <c r="M246" s="28"/>
      <c r="N246" s="28">
        <v>30</v>
      </c>
      <c r="O246" s="28"/>
      <c r="P246" s="28"/>
      <c r="Q246" s="28"/>
      <c r="R246" s="28"/>
      <c r="S246" s="28"/>
      <c r="T246" s="28"/>
      <c r="U246" s="28">
        <v>1</v>
      </c>
      <c r="V246" s="28">
        <f t="shared" si="19"/>
        <v>30</v>
      </c>
      <c r="W246" s="39">
        <v>6.9</v>
      </c>
      <c r="X246" s="31" t="s">
        <v>19</v>
      </c>
      <c r="Y246" s="39">
        <f>W246-1.2</f>
        <v>5.7</v>
      </c>
    </row>
    <row r="247" spans="1:25" ht="17.25" customHeight="1" thickBot="1">
      <c r="A247" s="33" t="s">
        <v>211</v>
      </c>
      <c r="B247" s="33" t="s">
        <v>212</v>
      </c>
      <c r="C247" s="76"/>
      <c r="D247" s="76"/>
      <c r="E247" s="66"/>
      <c r="F247" s="28"/>
      <c r="G247" s="37" t="s">
        <v>239</v>
      </c>
      <c r="H247" s="38" t="s">
        <v>20</v>
      </c>
      <c r="I247" s="33" t="s">
        <v>162</v>
      </c>
      <c r="J247" s="33" t="s">
        <v>41</v>
      </c>
      <c r="K247" s="32" t="s">
        <v>273</v>
      </c>
      <c r="L247" s="28"/>
      <c r="M247" s="28"/>
      <c r="N247" s="28">
        <v>30</v>
      </c>
      <c r="O247" s="28"/>
      <c r="P247" s="28"/>
      <c r="Q247" s="28"/>
      <c r="R247" s="28"/>
      <c r="S247" s="28"/>
      <c r="T247" s="28"/>
      <c r="U247" s="28">
        <v>1</v>
      </c>
      <c r="V247" s="28">
        <f t="shared" si="19"/>
        <v>30</v>
      </c>
      <c r="W247" s="39">
        <v>6.9</v>
      </c>
      <c r="X247" s="31" t="s">
        <v>19</v>
      </c>
      <c r="Y247" s="39">
        <f>W247-1.2</f>
        <v>5.7</v>
      </c>
    </row>
    <row r="248" spans="1:25" ht="17.25" customHeight="1" thickBot="1">
      <c r="A248" s="33" t="s">
        <v>211</v>
      </c>
      <c r="B248" s="33" t="s">
        <v>212</v>
      </c>
      <c r="C248" s="76"/>
      <c r="D248" s="76"/>
      <c r="E248" s="66"/>
      <c r="F248" s="28"/>
      <c r="G248" s="37" t="s">
        <v>239</v>
      </c>
      <c r="H248" s="38" t="s">
        <v>20</v>
      </c>
      <c r="I248" s="33" t="s">
        <v>163</v>
      </c>
      <c r="J248" s="33" t="s">
        <v>41</v>
      </c>
      <c r="K248" s="32" t="s">
        <v>273</v>
      </c>
      <c r="L248" s="28"/>
      <c r="M248" s="28"/>
      <c r="N248" s="28">
        <v>10</v>
      </c>
      <c r="O248" s="28"/>
      <c r="P248" s="28"/>
      <c r="Q248" s="28"/>
      <c r="R248" s="28"/>
      <c r="S248" s="28"/>
      <c r="T248" s="28"/>
      <c r="U248" s="28">
        <v>1</v>
      </c>
      <c r="V248" s="28">
        <f t="shared" si="19"/>
        <v>10</v>
      </c>
      <c r="W248" s="39">
        <v>2.8</v>
      </c>
      <c r="X248" s="31" t="s">
        <v>24</v>
      </c>
      <c r="Y248" s="39">
        <f>W248-0.9</f>
        <v>1.9</v>
      </c>
    </row>
    <row r="249" spans="1:25" ht="17.25" customHeight="1" thickBot="1">
      <c r="A249" s="33" t="s">
        <v>211</v>
      </c>
      <c r="B249" s="33" t="s">
        <v>212</v>
      </c>
      <c r="C249" s="76"/>
      <c r="D249" s="76"/>
      <c r="E249" s="66"/>
      <c r="F249" s="28"/>
      <c r="G249" s="37" t="s">
        <v>240</v>
      </c>
      <c r="H249" s="38" t="s">
        <v>20</v>
      </c>
      <c r="I249" s="33" t="s">
        <v>165</v>
      </c>
      <c r="J249" s="33" t="s">
        <v>41</v>
      </c>
      <c r="K249" s="32" t="s">
        <v>273</v>
      </c>
      <c r="L249" s="28"/>
      <c r="M249" s="28"/>
      <c r="N249" s="28"/>
      <c r="O249" s="28">
        <v>20</v>
      </c>
      <c r="P249" s="28"/>
      <c r="Q249" s="28"/>
      <c r="R249" s="28"/>
      <c r="S249" s="28"/>
      <c r="T249" s="28"/>
      <c r="U249" s="28">
        <v>1</v>
      </c>
      <c r="V249" s="28">
        <f t="shared" si="19"/>
        <v>20</v>
      </c>
      <c r="W249" s="39">
        <v>5.2</v>
      </c>
      <c r="X249" s="31" t="s">
        <v>19</v>
      </c>
      <c r="Y249" s="39">
        <f>W249-1.2</f>
        <v>4</v>
      </c>
    </row>
    <row r="250" spans="1:25" ht="17.25" customHeight="1" thickBot="1">
      <c r="A250" s="33" t="s">
        <v>211</v>
      </c>
      <c r="B250" s="33" t="s">
        <v>212</v>
      </c>
      <c r="C250" s="76"/>
      <c r="D250" s="76"/>
      <c r="E250" s="66"/>
      <c r="F250" s="28"/>
      <c r="G250" s="37" t="s">
        <v>240</v>
      </c>
      <c r="H250" s="38" t="s">
        <v>20</v>
      </c>
      <c r="I250" s="33" t="s">
        <v>166</v>
      </c>
      <c r="J250" s="33" t="s">
        <v>41</v>
      </c>
      <c r="K250" s="32" t="s">
        <v>273</v>
      </c>
      <c r="L250" s="28"/>
      <c r="M250" s="28"/>
      <c r="N250" s="28"/>
      <c r="O250" s="28">
        <v>20</v>
      </c>
      <c r="P250" s="28"/>
      <c r="Q250" s="28"/>
      <c r="R250" s="28"/>
      <c r="S250" s="28"/>
      <c r="T250" s="28"/>
      <c r="U250" s="28">
        <v>1</v>
      </c>
      <c r="V250" s="28">
        <f t="shared" ref="V250:V281" si="22">SUM(L250:T250)</f>
        <v>20</v>
      </c>
      <c r="W250" s="39">
        <v>5.2</v>
      </c>
      <c r="X250" s="31" t="s">
        <v>19</v>
      </c>
      <c r="Y250" s="39">
        <f>W250-1.2</f>
        <v>4</v>
      </c>
    </row>
    <row r="251" spans="1:25" ht="17.25" customHeight="1" thickBot="1">
      <c r="A251" s="33" t="s">
        <v>211</v>
      </c>
      <c r="B251" s="33" t="s">
        <v>212</v>
      </c>
      <c r="C251" s="76"/>
      <c r="D251" s="76"/>
      <c r="E251" s="66"/>
      <c r="F251" s="28"/>
      <c r="G251" s="37" t="s">
        <v>240</v>
      </c>
      <c r="H251" s="38" t="s">
        <v>20</v>
      </c>
      <c r="I251" s="33" t="s">
        <v>167</v>
      </c>
      <c r="J251" s="33" t="s">
        <v>41</v>
      </c>
      <c r="K251" s="32" t="s">
        <v>273</v>
      </c>
      <c r="L251" s="28"/>
      <c r="M251" s="28"/>
      <c r="N251" s="28"/>
      <c r="O251" s="28">
        <v>15</v>
      </c>
      <c r="P251" s="28"/>
      <c r="Q251" s="28"/>
      <c r="R251" s="28"/>
      <c r="S251" s="28"/>
      <c r="T251" s="28"/>
      <c r="U251" s="28">
        <v>1</v>
      </c>
      <c r="V251" s="28">
        <f t="shared" si="22"/>
        <v>15</v>
      </c>
      <c r="W251" s="39">
        <v>4.0999999999999996</v>
      </c>
      <c r="X251" s="31" t="s">
        <v>23</v>
      </c>
      <c r="Y251" s="39">
        <f>W251-1.1</f>
        <v>2.9999999999999996</v>
      </c>
    </row>
    <row r="252" spans="1:25" ht="17.25" customHeight="1" thickBot="1">
      <c r="A252" s="33" t="s">
        <v>211</v>
      </c>
      <c r="B252" s="33" t="s">
        <v>212</v>
      </c>
      <c r="C252" s="76"/>
      <c r="D252" s="76"/>
      <c r="E252" s="66"/>
      <c r="F252" s="28"/>
      <c r="G252" s="37" t="s">
        <v>241</v>
      </c>
      <c r="H252" s="38" t="s">
        <v>20</v>
      </c>
      <c r="I252" s="33" t="s">
        <v>169</v>
      </c>
      <c r="J252" s="33" t="s">
        <v>41</v>
      </c>
      <c r="K252" s="32" t="s">
        <v>273</v>
      </c>
      <c r="L252" s="28"/>
      <c r="M252" s="28"/>
      <c r="N252" s="28"/>
      <c r="O252" s="28"/>
      <c r="P252" s="28">
        <v>15</v>
      </c>
      <c r="Q252" s="28"/>
      <c r="R252" s="28"/>
      <c r="S252" s="28"/>
      <c r="T252" s="28"/>
      <c r="U252" s="28">
        <v>1</v>
      </c>
      <c r="V252" s="28">
        <f t="shared" si="22"/>
        <v>15</v>
      </c>
      <c r="W252" s="39">
        <v>4.3499999999999996</v>
      </c>
      <c r="X252" s="31" t="s">
        <v>19</v>
      </c>
      <c r="Y252" s="39">
        <f t="shared" ref="Y252:Y264" si="23">W252-1.2</f>
        <v>3.1499999999999995</v>
      </c>
    </row>
    <row r="253" spans="1:25" ht="17.25" customHeight="1" thickBot="1">
      <c r="A253" s="33" t="s">
        <v>211</v>
      </c>
      <c r="B253" s="33" t="s">
        <v>212</v>
      </c>
      <c r="C253" s="76"/>
      <c r="D253" s="76"/>
      <c r="E253" s="66"/>
      <c r="F253" s="28"/>
      <c r="G253" s="37" t="s">
        <v>241</v>
      </c>
      <c r="H253" s="38" t="s">
        <v>20</v>
      </c>
      <c r="I253" s="33" t="s">
        <v>170</v>
      </c>
      <c r="J253" s="33" t="s">
        <v>41</v>
      </c>
      <c r="K253" s="32" t="s">
        <v>273</v>
      </c>
      <c r="L253" s="28"/>
      <c r="M253" s="28"/>
      <c r="N253" s="28"/>
      <c r="O253" s="28"/>
      <c r="P253" s="28">
        <v>15</v>
      </c>
      <c r="Q253" s="28"/>
      <c r="R253" s="28"/>
      <c r="S253" s="28"/>
      <c r="T253" s="28"/>
      <c r="U253" s="28">
        <v>1</v>
      </c>
      <c r="V253" s="28">
        <f t="shared" si="22"/>
        <v>15</v>
      </c>
      <c r="W253" s="39">
        <v>4.3499999999999996</v>
      </c>
      <c r="X253" s="31" t="s">
        <v>19</v>
      </c>
      <c r="Y253" s="39">
        <f t="shared" si="23"/>
        <v>3.1499999999999995</v>
      </c>
    </row>
    <row r="254" spans="1:25" ht="17.25" customHeight="1" thickBot="1">
      <c r="A254" s="33" t="s">
        <v>211</v>
      </c>
      <c r="B254" s="33" t="s">
        <v>212</v>
      </c>
      <c r="C254" s="76"/>
      <c r="D254" s="76"/>
      <c r="E254" s="66"/>
      <c r="F254" s="28"/>
      <c r="G254" s="37" t="s">
        <v>241</v>
      </c>
      <c r="H254" s="38" t="s">
        <v>20</v>
      </c>
      <c r="I254" s="33" t="s">
        <v>171</v>
      </c>
      <c r="J254" s="33" t="s">
        <v>41</v>
      </c>
      <c r="K254" s="32" t="s">
        <v>273</v>
      </c>
      <c r="L254" s="28"/>
      <c r="M254" s="28"/>
      <c r="N254" s="28"/>
      <c r="O254" s="28"/>
      <c r="P254" s="28">
        <v>15</v>
      </c>
      <c r="Q254" s="28"/>
      <c r="R254" s="28"/>
      <c r="S254" s="28"/>
      <c r="T254" s="28"/>
      <c r="U254" s="28">
        <v>1</v>
      </c>
      <c r="V254" s="28">
        <f t="shared" si="22"/>
        <v>15</v>
      </c>
      <c r="W254" s="39">
        <v>4.3499999999999996</v>
      </c>
      <c r="X254" s="31" t="s">
        <v>19</v>
      </c>
      <c r="Y254" s="39">
        <f t="shared" si="23"/>
        <v>3.1499999999999995</v>
      </c>
    </row>
    <row r="255" spans="1:25" ht="17.25" customHeight="1" thickBot="1">
      <c r="A255" s="33" t="s">
        <v>211</v>
      </c>
      <c r="B255" s="33" t="s">
        <v>212</v>
      </c>
      <c r="C255" s="76"/>
      <c r="D255" s="76"/>
      <c r="E255" s="66"/>
      <c r="F255" s="28"/>
      <c r="G255" s="37" t="s">
        <v>241</v>
      </c>
      <c r="H255" s="38" t="s">
        <v>20</v>
      </c>
      <c r="I255" s="33" t="s">
        <v>172</v>
      </c>
      <c r="J255" s="33" t="s">
        <v>41</v>
      </c>
      <c r="K255" s="32" t="s">
        <v>273</v>
      </c>
      <c r="L255" s="28"/>
      <c r="M255" s="28"/>
      <c r="N255" s="28"/>
      <c r="O255" s="28"/>
      <c r="P255" s="28">
        <v>15</v>
      </c>
      <c r="Q255" s="28"/>
      <c r="R255" s="28"/>
      <c r="S255" s="28"/>
      <c r="T255" s="28"/>
      <c r="U255" s="28">
        <v>1</v>
      </c>
      <c r="V255" s="28">
        <f t="shared" si="22"/>
        <v>15</v>
      </c>
      <c r="W255" s="39">
        <v>4.3499999999999996</v>
      </c>
      <c r="X255" s="31" t="s">
        <v>19</v>
      </c>
      <c r="Y255" s="39">
        <f t="shared" si="23"/>
        <v>3.1499999999999995</v>
      </c>
    </row>
    <row r="256" spans="1:25" ht="17.25" customHeight="1" thickBot="1">
      <c r="A256" s="33" t="s">
        <v>211</v>
      </c>
      <c r="B256" s="33" t="s">
        <v>212</v>
      </c>
      <c r="C256" s="76"/>
      <c r="D256" s="76"/>
      <c r="E256" s="66"/>
      <c r="F256" s="28"/>
      <c r="G256" s="37" t="s">
        <v>241</v>
      </c>
      <c r="H256" s="38" t="s">
        <v>20</v>
      </c>
      <c r="I256" s="33" t="s">
        <v>173</v>
      </c>
      <c r="J256" s="33" t="s">
        <v>41</v>
      </c>
      <c r="K256" s="32" t="s">
        <v>273</v>
      </c>
      <c r="L256" s="28"/>
      <c r="M256" s="28"/>
      <c r="N256" s="28"/>
      <c r="O256" s="28"/>
      <c r="P256" s="28">
        <v>15</v>
      </c>
      <c r="Q256" s="28"/>
      <c r="R256" s="28"/>
      <c r="S256" s="28"/>
      <c r="T256" s="28"/>
      <c r="U256" s="28">
        <v>1</v>
      </c>
      <c r="V256" s="28">
        <f t="shared" si="22"/>
        <v>15</v>
      </c>
      <c r="W256" s="39">
        <v>4.3499999999999996</v>
      </c>
      <c r="X256" s="31" t="s">
        <v>19</v>
      </c>
      <c r="Y256" s="39">
        <f t="shared" si="23"/>
        <v>3.1499999999999995</v>
      </c>
    </row>
    <row r="257" spans="1:25" ht="17.25" customHeight="1" thickBot="1">
      <c r="A257" s="33" t="s">
        <v>211</v>
      </c>
      <c r="B257" s="33" t="s">
        <v>212</v>
      </c>
      <c r="C257" s="76"/>
      <c r="D257" s="76"/>
      <c r="E257" s="66"/>
      <c r="F257" s="28"/>
      <c r="G257" s="37" t="s">
        <v>241</v>
      </c>
      <c r="H257" s="38" t="s">
        <v>20</v>
      </c>
      <c r="I257" s="33" t="s">
        <v>174</v>
      </c>
      <c r="J257" s="33" t="s">
        <v>41</v>
      </c>
      <c r="K257" s="32" t="s">
        <v>273</v>
      </c>
      <c r="L257" s="28"/>
      <c r="M257" s="28"/>
      <c r="N257" s="28"/>
      <c r="O257" s="28"/>
      <c r="P257" s="28">
        <v>15</v>
      </c>
      <c r="Q257" s="28"/>
      <c r="R257" s="28"/>
      <c r="S257" s="28"/>
      <c r="T257" s="28"/>
      <c r="U257" s="28">
        <v>1</v>
      </c>
      <c r="V257" s="28">
        <f t="shared" si="22"/>
        <v>15</v>
      </c>
      <c r="W257" s="39">
        <v>4.3499999999999996</v>
      </c>
      <c r="X257" s="31" t="s">
        <v>19</v>
      </c>
      <c r="Y257" s="39">
        <f t="shared" si="23"/>
        <v>3.1499999999999995</v>
      </c>
    </row>
    <row r="258" spans="1:25" ht="17.25" customHeight="1" thickBot="1">
      <c r="A258" s="33" t="s">
        <v>211</v>
      </c>
      <c r="B258" s="33" t="s">
        <v>212</v>
      </c>
      <c r="C258" s="76"/>
      <c r="D258" s="76"/>
      <c r="E258" s="66"/>
      <c r="F258" s="28"/>
      <c r="G258" s="37" t="s">
        <v>241</v>
      </c>
      <c r="H258" s="38" t="s">
        <v>20</v>
      </c>
      <c r="I258" s="33" t="s">
        <v>175</v>
      </c>
      <c r="J258" s="33" t="s">
        <v>41</v>
      </c>
      <c r="K258" s="32" t="s">
        <v>273</v>
      </c>
      <c r="L258" s="28"/>
      <c r="M258" s="28"/>
      <c r="N258" s="28"/>
      <c r="O258" s="28"/>
      <c r="P258" s="28">
        <v>15</v>
      </c>
      <c r="Q258" s="28"/>
      <c r="R258" s="28"/>
      <c r="S258" s="28"/>
      <c r="T258" s="28"/>
      <c r="U258" s="28">
        <v>1</v>
      </c>
      <c r="V258" s="28">
        <f t="shared" si="22"/>
        <v>15</v>
      </c>
      <c r="W258" s="39">
        <v>4.3499999999999996</v>
      </c>
      <c r="X258" s="31" t="s">
        <v>19</v>
      </c>
      <c r="Y258" s="39">
        <f t="shared" si="23"/>
        <v>3.1499999999999995</v>
      </c>
    </row>
    <row r="259" spans="1:25" ht="17.25" customHeight="1" thickBot="1">
      <c r="A259" s="33" t="s">
        <v>211</v>
      </c>
      <c r="B259" s="33" t="s">
        <v>212</v>
      </c>
      <c r="C259" s="76"/>
      <c r="D259" s="76"/>
      <c r="E259" s="66"/>
      <c r="F259" s="28"/>
      <c r="G259" s="37" t="s">
        <v>241</v>
      </c>
      <c r="H259" s="38" t="s">
        <v>20</v>
      </c>
      <c r="I259" s="33" t="s">
        <v>176</v>
      </c>
      <c r="J259" s="33" t="s">
        <v>41</v>
      </c>
      <c r="K259" s="32" t="s">
        <v>273</v>
      </c>
      <c r="L259" s="28"/>
      <c r="M259" s="28"/>
      <c r="N259" s="28"/>
      <c r="O259" s="28"/>
      <c r="P259" s="28">
        <v>15</v>
      </c>
      <c r="Q259" s="28"/>
      <c r="R259" s="28"/>
      <c r="S259" s="28"/>
      <c r="T259" s="28"/>
      <c r="U259" s="28">
        <v>1</v>
      </c>
      <c r="V259" s="28">
        <f t="shared" si="22"/>
        <v>15</v>
      </c>
      <c r="W259" s="39">
        <v>4.3499999999999996</v>
      </c>
      <c r="X259" s="31" t="s">
        <v>19</v>
      </c>
      <c r="Y259" s="39">
        <f t="shared" si="23"/>
        <v>3.1499999999999995</v>
      </c>
    </row>
    <row r="260" spans="1:25" ht="17.25" customHeight="1" thickBot="1">
      <c r="A260" s="33" t="s">
        <v>211</v>
      </c>
      <c r="B260" s="33" t="s">
        <v>212</v>
      </c>
      <c r="C260" s="76"/>
      <c r="D260" s="76"/>
      <c r="E260" s="66"/>
      <c r="F260" s="28"/>
      <c r="G260" s="37" t="s">
        <v>242</v>
      </c>
      <c r="H260" s="38" t="s">
        <v>20</v>
      </c>
      <c r="I260" s="33" t="s">
        <v>177</v>
      </c>
      <c r="J260" s="33" t="s">
        <v>41</v>
      </c>
      <c r="K260" s="32" t="s">
        <v>273</v>
      </c>
      <c r="L260" s="28"/>
      <c r="M260" s="28"/>
      <c r="N260" s="28"/>
      <c r="O260" s="28"/>
      <c r="P260" s="28"/>
      <c r="Q260" s="28">
        <v>15</v>
      </c>
      <c r="R260" s="28"/>
      <c r="S260" s="28"/>
      <c r="T260" s="28"/>
      <c r="U260" s="28">
        <v>1</v>
      </c>
      <c r="V260" s="28">
        <f t="shared" si="22"/>
        <v>15</v>
      </c>
      <c r="W260" s="39">
        <v>4.5</v>
      </c>
      <c r="X260" s="31" t="s">
        <v>19</v>
      </c>
      <c r="Y260" s="39">
        <f t="shared" si="23"/>
        <v>3.3</v>
      </c>
    </row>
    <row r="261" spans="1:25" ht="17.25" customHeight="1" thickBot="1">
      <c r="A261" s="33" t="s">
        <v>211</v>
      </c>
      <c r="B261" s="33" t="s">
        <v>212</v>
      </c>
      <c r="C261" s="76"/>
      <c r="D261" s="76"/>
      <c r="E261" s="66"/>
      <c r="F261" s="28"/>
      <c r="G261" s="37" t="s">
        <v>242</v>
      </c>
      <c r="H261" s="38" t="s">
        <v>20</v>
      </c>
      <c r="I261" s="33" t="s">
        <v>179</v>
      </c>
      <c r="J261" s="33" t="s">
        <v>41</v>
      </c>
      <c r="K261" s="32" t="s">
        <v>273</v>
      </c>
      <c r="L261" s="28"/>
      <c r="M261" s="28"/>
      <c r="N261" s="28"/>
      <c r="O261" s="28"/>
      <c r="P261" s="28"/>
      <c r="Q261" s="28">
        <v>15</v>
      </c>
      <c r="R261" s="28"/>
      <c r="S261" s="28"/>
      <c r="T261" s="28"/>
      <c r="U261" s="28">
        <v>1</v>
      </c>
      <c r="V261" s="28">
        <f t="shared" si="22"/>
        <v>15</v>
      </c>
      <c r="W261" s="39">
        <v>4.5</v>
      </c>
      <c r="X261" s="31" t="s">
        <v>19</v>
      </c>
      <c r="Y261" s="39">
        <f t="shared" si="23"/>
        <v>3.3</v>
      </c>
    </row>
    <row r="262" spans="1:25" ht="17.25" customHeight="1" thickBot="1">
      <c r="A262" s="33" t="s">
        <v>211</v>
      </c>
      <c r="B262" s="33" t="s">
        <v>212</v>
      </c>
      <c r="C262" s="76"/>
      <c r="D262" s="76"/>
      <c r="E262" s="66"/>
      <c r="F262" s="28"/>
      <c r="G262" s="37" t="s">
        <v>242</v>
      </c>
      <c r="H262" s="38" t="s">
        <v>20</v>
      </c>
      <c r="I262" s="33" t="s">
        <v>180</v>
      </c>
      <c r="J262" s="33" t="s">
        <v>41</v>
      </c>
      <c r="K262" s="32" t="s">
        <v>273</v>
      </c>
      <c r="L262" s="28"/>
      <c r="M262" s="28"/>
      <c r="N262" s="28"/>
      <c r="O262" s="28"/>
      <c r="P262" s="28"/>
      <c r="Q262" s="28">
        <v>15</v>
      </c>
      <c r="R262" s="28"/>
      <c r="S262" s="28"/>
      <c r="T262" s="28"/>
      <c r="U262" s="28">
        <v>1</v>
      </c>
      <c r="V262" s="28">
        <f t="shared" si="22"/>
        <v>15</v>
      </c>
      <c r="W262" s="39">
        <v>4.5</v>
      </c>
      <c r="X262" s="31" t="s">
        <v>19</v>
      </c>
      <c r="Y262" s="39">
        <f t="shared" si="23"/>
        <v>3.3</v>
      </c>
    </row>
    <row r="263" spans="1:25" ht="17.25" customHeight="1" thickBot="1">
      <c r="A263" s="33" t="s">
        <v>211</v>
      </c>
      <c r="B263" s="33" t="s">
        <v>212</v>
      </c>
      <c r="C263" s="76"/>
      <c r="D263" s="76"/>
      <c r="E263" s="66"/>
      <c r="F263" s="28"/>
      <c r="G263" s="37" t="s">
        <v>242</v>
      </c>
      <c r="H263" s="38" t="s">
        <v>20</v>
      </c>
      <c r="I263" s="33" t="s">
        <v>181</v>
      </c>
      <c r="J263" s="33" t="s">
        <v>41</v>
      </c>
      <c r="K263" s="32" t="s">
        <v>273</v>
      </c>
      <c r="L263" s="28"/>
      <c r="M263" s="28"/>
      <c r="N263" s="28"/>
      <c r="O263" s="28"/>
      <c r="P263" s="28"/>
      <c r="Q263" s="28">
        <v>15</v>
      </c>
      <c r="R263" s="28"/>
      <c r="S263" s="28"/>
      <c r="T263" s="28"/>
      <c r="U263" s="28">
        <v>1</v>
      </c>
      <c r="V263" s="28">
        <f t="shared" si="22"/>
        <v>15</v>
      </c>
      <c r="W263" s="39">
        <v>4.5</v>
      </c>
      <c r="X263" s="31" t="s">
        <v>19</v>
      </c>
      <c r="Y263" s="39">
        <f t="shared" si="23"/>
        <v>3.3</v>
      </c>
    </row>
    <row r="264" spans="1:25" ht="17.25" customHeight="1" thickBot="1">
      <c r="A264" s="33" t="s">
        <v>211</v>
      </c>
      <c r="B264" s="33" t="s">
        <v>212</v>
      </c>
      <c r="C264" s="76"/>
      <c r="D264" s="76"/>
      <c r="E264" s="66"/>
      <c r="F264" s="28"/>
      <c r="G264" s="37" t="s">
        <v>242</v>
      </c>
      <c r="H264" s="38" t="s">
        <v>20</v>
      </c>
      <c r="I264" s="33" t="s">
        <v>183</v>
      </c>
      <c r="J264" s="33" t="s">
        <v>41</v>
      </c>
      <c r="K264" s="32" t="s">
        <v>273</v>
      </c>
      <c r="L264" s="28"/>
      <c r="M264" s="28"/>
      <c r="N264" s="28"/>
      <c r="O264" s="28"/>
      <c r="P264" s="28"/>
      <c r="Q264" s="28">
        <v>15</v>
      </c>
      <c r="R264" s="28"/>
      <c r="S264" s="28"/>
      <c r="T264" s="28"/>
      <c r="U264" s="28">
        <v>1</v>
      </c>
      <c r="V264" s="28">
        <f t="shared" si="22"/>
        <v>15</v>
      </c>
      <c r="W264" s="39">
        <v>4.5</v>
      </c>
      <c r="X264" s="31" t="s">
        <v>19</v>
      </c>
      <c r="Y264" s="39">
        <f t="shared" si="23"/>
        <v>3.3</v>
      </c>
    </row>
    <row r="265" spans="1:25" ht="17.25" customHeight="1" thickBot="1">
      <c r="A265" s="33" t="s">
        <v>211</v>
      </c>
      <c r="B265" s="33" t="s">
        <v>212</v>
      </c>
      <c r="C265" s="76"/>
      <c r="D265" s="76"/>
      <c r="E265" s="66"/>
      <c r="F265" s="28"/>
      <c r="G265" s="37" t="s">
        <v>242</v>
      </c>
      <c r="H265" s="38" t="s">
        <v>20</v>
      </c>
      <c r="I265" s="33" t="s">
        <v>184</v>
      </c>
      <c r="J265" s="33" t="s">
        <v>41</v>
      </c>
      <c r="K265" s="32" t="s">
        <v>273</v>
      </c>
      <c r="L265" s="28"/>
      <c r="M265" s="28"/>
      <c r="N265" s="28"/>
      <c r="O265" s="28"/>
      <c r="P265" s="28"/>
      <c r="Q265" s="28">
        <v>5</v>
      </c>
      <c r="R265" s="28"/>
      <c r="S265" s="28"/>
      <c r="T265" s="28"/>
      <c r="U265" s="28">
        <v>1</v>
      </c>
      <c r="V265" s="28">
        <f t="shared" si="22"/>
        <v>5</v>
      </c>
      <c r="W265" s="39">
        <v>2</v>
      </c>
      <c r="X265" s="31" t="s">
        <v>24</v>
      </c>
      <c r="Y265" s="39">
        <f>W265-0.9</f>
        <v>1.1000000000000001</v>
      </c>
    </row>
    <row r="266" spans="1:25" ht="17.25" customHeight="1" thickBot="1">
      <c r="A266" s="33" t="s">
        <v>211</v>
      </c>
      <c r="B266" s="33" t="s">
        <v>212</v>
      </c>
      <c r="C266" s="76"/>
      <c r="D266" s="76"/>
      <c r="E266" s="66"/>
      <c r="F266" s="28"/>
      <c r="G266" s="37" t="s">
        <v>243</v>
      </c>
      <c r="H266" s="38" t="s">
        <v>20</v>
      </c>
      <c r="I266" s="33" t="s">
        <v>185</v>
      </c>
      <c r="J266" s="33" t="s">
        <v>41</v>
      </c>
      <c r="K266" s="32" t="s">
        <v>273</v>
      </c>
      <c r="L266" s="28"/>
      <c r="M266" s="28"/>
      <c r="N266" s="28"/>
      <c r="O266" s="28"/>
      <c r="P266" s="28"/>
      <c r="Q266" s="28"/>
      <c r="R266" s="28">
        <v>15</v>
      </c>
      <c r="S266" s="28"/>
      <c r="T266" s="28"/>
      <c r="U266" s="28">
        <v>1</v>
      </c>
      <c r="V266" s="28">
        <f t="shared" si="22"/>
        <v>15</v>
      </c>
      <c r="W266" s="39">
        <v>4.6500000000000004</v>
      </c>
      <c r="X266" s="31" t="s">
        <v>19</v>
      </c>
      <c r="Y266" s="39">
        <f t="shared" ref="Y266:Y271" si="24">W266-1.2</f>
        <v>3.45</v>
      </c>
    </row>
    <row r="267" spans="1:25" ht="17.25" customHeight="1" thickBot="1">
      <c r="A267" s="33" t="s">
        <v>211</v>
      </c>
      <c r="B267" s="33" t="s">
        <v>212</v>
      </c>
      <c r="C267" s="76"/>
      <c r="D267" s="76"/>
      <c r="E267" s="66"/>
      <c r="F267" s="28"/>
      <c r="G267" s="37" t="s">
        <v>243</v>
      </c>
      <c r="H267" s="38" t="s">
        <v>20</v>
      </c>
      <c r="I267" s="33" t="s">
        <v>186</v>
      </c>
      <c r="J267" s="33" t="s">
        <v>41</v>
      </c>
      <c r="K267" s="32" t="s">
        <v>273</v>
      </c>
      <c r="L267" s="28"/>
      <c r="M267" s="28"/>
      <c r="N267" s="28"/>
      <c r="O267" s="28"/>
      <c r="P267" s="28"/>
      <c r="Q267" s="28"/>
      <c r="R267" s="28">
        <v>15</v>
      </c>
      <c r="S267" s="28"/>
      <c r="T267" s="28"/>
      <c r="U267" s="28">
        <v>1</v>
      </c>
      <c r="V267" s="28">
        <f t="shared" si="22"/>
        <v>15</v>
      </c>
      <c r="W267" s="39">
        <v>4.6500000000000004</v>
      </c>
      <c r="X267" s="31" t="s">
        <v>19</v>
      </c>
      <c r="Y267" s="39">
        <f t="shared" si="24"/>
        <v>3.45</v>
      </c>
    </row>
    <row r="268" spans="1:25" ht="17.25" customHeight="1" thickBot="1">
      <c r="A268" s="33" t="s">
        <v>211</v>
      </c>
      <c r="B268" s="33" t="s">
        <v>212</v>
      </c>
      <c r="C268" s="76"/>
      <c r="D268" s="76"/>
      <c r="E268" s="66"/>
      <c r="F268" s="28"/>
      <c r="G268" s="37" t="s">
        <v>243</v>
      </c>
      <c r="H268" s="38" t="s">
        <v>20</v>
      </c>
      <c r="I268" s="33" t="s">
        <v>188</v>
      </c>
      <c r="J268" s="33" t="s">
        <v>41</v>
      </c>
      <c r="K268" s="32" t="s">
        <v>273</v>
      </c>
      <c r="L268" s="28"/>
      <c r="M268" s="28"/>
      <c r="N268" s="28"/>
      <c r="O268" s="28"/>
      <c r="P268" s="28"/>
      <c r="Q268" s="28"/>
      <c r="R268" s="28">
        <v>15</v>
      </c>
      <c r="S268" s="28"/>
      <c r="T268" s="28"/>
      <c r="U268" s="28">
        <v>1</v>
      </c>
      <c r="V268" s="28">
        <f t="shared" si="22"/>
        <v>15</v>
      </c>
      <c r="W268" s="39">
        <v>4.6500000000000004</v>
      </c>
      <c r="X268" s="31" t="s">
        <v>19</v>
      </c>
      <c r="Y268" s="39">
        <f t="shared" si="24"/>
        <v>3.45</v>
      </c>
    </row>
    <row r="269" spans="1:25" ht="17.25" customHeight="1" thickBot="1">
      <c r="A269" s="33" t="s">
        <v>211</v>
      </c>
      <c r="B269" s="33" t="s">
        <v>212</v>
      </c>
      <c r="C269" s="76"/>
      <c r="D269" s="76"/>
      <c r="E269" s="66"/>
      <c r="F269" s="28"/>
      <c r="G269" s="37" t="s">
        <v>243</v>
      </c>
      <c r="H269" s="38" t="s">
        <v>20</v>
      </c>
      <c r="I269" s="33" t="s">
        <v>189</v>
      </c>
      <c r="J269" s="33" t="s">
        <v>41</v>
      </c>
      <c r="K269" s="32" t="s">
        <v>273</v>
      </c>
      <c r="L269" s="28"/>
      <c r="M269" s="28"/>
      <c r="N269" s="28"/>
      <c r="O269" s="28"/>
      <c r="P269" s="28"/>
      <c r="Q269" s="28"/>
      <c r="R269" s="28">
        <v>15</v>
      </c>
      <c r="S269" s="28"/>
      <c r="T269" s="28"/>
      <c r="U269" s="28">
        <v>1</v>
      </c>
      <c r="V269" s="28">
        <f t="shared" si="22"/>
        <v>15</v>
      </c>
      <c r="W269" s="39">
        <v>4.6500000000000004</v>
      </c>
      <c r="X269" s="31" t="s">
        <v>19</v>
      </c>
      <c r="Y269" s="39">
        <f t="shared" si="24"/>
        <v>3.45</v>
      </c>
    </row>
    <row r="270" spans="1:25" ht="17.25" customHeight="1" thickBot="1">
      <c r="A270" s="33" t="s">
        <v>211</v>
      </c>
      <c r="B270" s="33" t="s">
        <v>212</v>
      </c>
      <c r="C270" s="76"/>
      <c r="D270" s="76"/>
      <c r="E270" s="66"/>
      <c r="F270" s="28"/>
      <c r="G270" s="37" t="s">
        <v>243</v>
      </c>
      <c r="H270" s="38" t="s">
        <v>20</v>
      </c>
      <c r="I270" s="33" t="s">
        <v>190</v>
      </c>
      <c r="J270" s="33" t="s">
        <v>41</v>
      </c>
      <c r="K270" s="32" t="s">
        <v>273</v>
      </c>
      <c r="L270" s="28"/>
      <c r="M270" s="28"/>
      <c r="N270" s="28"/>
      <c r="O270" s="28"/>
      <c r="P270" s="28"/>
      <c r="Q270" s="28"/>
      <c r="R270" s="28">
        <v>15</v>
      </c>
      <c r="S270" s="28"/>
      <c r="T270" s="28"/>
      <c r="U270" s="28">
        <v>1</v>
      </c>
      <c r="V270" s="28">
        <f t="shared" si="22"/>
        <v>15</v>
      </c>
      <c r="W270" s="39">
        <v>4.6500000000000004</v>
      </c>
      <c r="X270" s="31" t="s">
        <v>19</v>
      </c>
      <c r="Y270" s="39">
        <f t="shared" si="24"/>
        <v>3.45</v>
      </c>
    </row>
    <row r="271" spans="1:25" ht="17.25" customHeight="1" thickBot="1">
      <c r="A271" s="33" t="s">
        <v>211</v>
      </c>
      <c r="B271" s="33" t="s">
        <v>212</v>
      </c>
      <c r="C271" s="76"/>
      <c r="D271" s="76"/>
      <c r="E271" s="66"/>
      <c r="F271" s="28"/>
      <c r="G271" s="37" t="s">
        <v>243</v>
      </c>
      <c r="H271" s="38" t="s">
        <v>20</v>
      </c>
      <c r="I271" s="33" t="s">
        <v>192</v>
      </c>
      <c r="J271" s="33" t="s">
        <v>41</v>
      </c>
      <c r="K271" s="32" t="s">
        <v>273</v>
      </c>
      <c r="L271" s="28"/>
      <c r="M271" s="28"/>
      <c r="N271" s="28"/>
      <c r="O271" s="28"/>
      <c r="P271" s="28"/>
      <c r="Q271" s="28"/>
      <c r="R271" s="28">
        <v>15</v>
      </c>
      <c r="S271" s="28"/>
      <c r="T271" s="28"/>
      <c r="U271" s="28">
        <v>1</v>
      </c>
      <c r="V271" s="28">
        <f t="shared" si="22"/>
        <v>15</v>
      </c>
      <c r="W271" s="39">
        <v>4.6500000000000004</v>
      </c>
      <c r="X271" s="31" t="s">
        <v>19</v>
      </c>
      <c r="Y271" s="39">
        <f t="shared" si="24"/>
        <v>3.45</v>
      </c>
    </row>
    <row r="272" spans="1:25" ht="17.25" customHeight="1" thickBot="1">
      <c r="A272" s="33" t="s">
        <v>211</v>
      </c>
      <c r="B272" s="33" t="s">
        <v>212</v>
      </c>
      <c r="C272" s="76"/>
      <c r="D272" s="76"/>
      <c r="E272" s="66"/>
      <c r="F272" s="28"/>
      <c r="G272" s="37" t="s">
        <v>243</v>
      </c>
      <c r="H272" s="38" t="s">
        <v>20</v>
      </c>
      <c r="I272" s="33" t="s">
        <v>193</v>
      </c>
      <c r="J272" s="33" t="s">
        <v>41</v>
      </c>
      <c r="K272" s="32" t="s">
        <v>273</v>
      </c>
      <c r="L272" s="28"/>
      <c r="M272" s="28"/>
      <c r="N272" s="28"/>
      <c r="O272" s="28"/>
      <c r="P272" s="28"/>
      <c r="Q272" s="28"/>
      <c r="R272" s="28">
        <v>5</v>
      </c>
      <c r="S272" s="28"/>
      <c r="T272" s="28"/>
      <c r="U272" s="28">
        <v>1</v>
      </c>
      <c r="V272" s="28">
        <f t="shared" si="22"/>
        <v>5</v>
      </c>
      <c r="W272" s="39">
        <v>2.0499999999999998</v>
      </c>
      <c r="X272" s="31" t="s">
        <v>24</v>
      </c>
      <c r="Y272" s="39">
        <f>W272-0.9</f>
        <v>1.1499999999999999</v>
      </c>
    </row>
    <row r="273" spans="1:25" ht="17.25" customHeight="1" thickBot="1">
      <c r="A273" s="33" t="s">
        <v>211</v>
      </c>
      <c r="B273" s="33" t="s">
        <v>212</v>
      </c>
      <c r="C273" s="76"/>
      <c r="D273" s="76"/>
      <c r="E273" s="66"/>
      <c r="F273" s="28"/>
      <c r="G273" s="37" t="s">
        <v>244</v>
      </c>
      <c r="H273" s="38" t="s">
        <v>20</v>
      </c>
      <c r="I273" s="33" t="s">
        <v>194</v>
      </c>
      <c r="J273" s="33" t="s">
        <v>41</v>
      </c>
      <c r="K273" s="32" t="s">
        <v>274</v>
      </c>
      <c r="L273" s="28"/>
      <c r="M273" s="28"/>
      <c r="N273" s="28">
        <v>20</v>
      </c>
      <c r="O273" s="28"/>
      <c r="P273" s="28"/>
      <c r="Q273" s="28"/>
      <c r="R273" s="28"/>
      <c r="S273" s="28"/>
      <c r="T273" s="28"/>
      <c r="U273" s="28">
        <v>1</v>
      </c>
      <c r="V273" s="28">
        <f t="shared" si="22"/>
        <v>20</v>
      </c>
      <c r="W273" s="39">
        <v>5</v>
      </c>
      <c r="X273" s="31" t="s">
        <v>19</v>
      </c>
      <c r="Y273" s="39">
        <f>W273-1.2</f>
        <v>3.8</v>
      </c>
    </row>
    <row r="274" spans="1:25" ht="17.25" customHeight="1" thickBot="1">
      <c r="A274" s="33" t="s">
        <v>211</v>
      </c>
      <c r="B274" s="33" t="s">
        <v>212</v>
      </c>
      <c r="C274" s="76"/>
      <c r="D274" s="76"/>
      <c r="E274" s="66"/>
      <c r="F274" s="28"/>
      <c r="G274" s="37" t="s">
        <v>244</v>
      </c>
      <c r="H274" s="38" t="s">
        <v>20</v>
      </c>
      <c r="I274" s="33" t="s">
        <v>195</v>
      </c>
      <c r="J274" s="33" t="s">
        <v>41</v>
      </c>
      <c r="K274" s="32" t="s">
        <v>274</v>
      </c>
      <c r="L274" s="28"/>
      <c r="M274" s="28"/>
      <c r="N274" s="28">
        <v>20</v>
      </c>
      <c r="O274" s="28"/>
      <c r="P274" s="28"/>
      <c r="Q274" s="28"/>
      <c r="R274" s="28"/>
      <c r="S274" s="28"/>
      <c r="T274" s="28"/>
      <c r="U274" s="28">
        <v>1</v>
      </c>
      <c r="V274" s="28">
        <f t="shared" si="22"/>
        <v>20</v>
      </c>
      <c r="W274" s="39">
        <v>5</v>
      </c>
      <c r="X274" s="31" t="s">
        <v>19</v>
      </c>
      <c r="Y274" s="39">
        <f>W274-1.2</f>
        <v>3.8</v>
      </c>
    </row>
    <row r="275" spans="1:25" ht="17.25" customHeight="1" thickBot="1">
      <c r="A275" s="33" t="s">
        <v>211</v>
      </c>
      <c r="B275" s="33" t="s">
        <v>212</v>
      </c>
      <c r="C275" s="76"/>
      <c r="D275" s="76"/>
      <c r="E275" s="66"/>
      <c r="F275" s="28"/>
      <c r="G275" s="37" t="s">
        <v>244</v>
      </c>
      <c r="H275" s="38" t="s">
        <v>20</v>
      </c>
      <c r="I275" s="33" t="s">
        <v>197</v>
      </c>
      <c r="J275" s="33" t="s">
        <v>41</v>
      </c>
      <c r="K275" s="32" t="s">
        <v>274</v>
      </c>
      <c r="L275" s="28"/>
      <c r="M275" s="28"/>
      <c r="N275" s="28">
        <v>20</v>
      </c>
      <c r="O275" s="28"/>
      <c r="P275" s="28"/>
      <c r="Q275" s="28"/>
      <c r="R275" s="28"/>
      <c r="S275" s="28"/>
      <c r="T275" s="28"/>
      <c r="U275" s="28">
        <v>1</v>
      </c>
      <c r="V275" s="28">
        <f t="shared" si="22"/>
        <v>20</v>
      </c>
      <c r="W275" s="39">
        <v>5</v>
      </c>
      <c r="X275" s="31" t="s">
        <v>19</v>
      </c>
      <c r="Y275" s="39">
        <f>W275-1.2</f>
        <v>3.8</v>
      </c>
    </row>
    <row r="276" spans="1:25" ht="17.25" customHeight="1" thickBot="1">
      <c r="A276" s="33" t="s">
        <v>211</v>
      </c>
      <c r="B276" s="33" t="s">
        <v>212</v>
      </c>
      <c r="C276" s="76"/>
      <c r="D276" s="76"/>
      <c r="E276" s="66"/>
      <c r="F276" s="28"/>
      <c r="G276" s="37" t="s">
        <v>245</v>
      </c>
      <c r="H276" s="38" t="s">
        <v>20</v>
      </c>
      <c r="I276" s="33" t="s">
        <v>198</v>
      </c>
      <c r="J276" s="33" t="s">
        <v>41</v>
      </c>
      <c r="K276" s="32" t="s">
        <v>274</v>
      </c>
      <c r="L276" s="28"/>
      <c r="M276" s="28"/>
      <c r="N276" s="28"/>
      <c r="O276" s="28">
        <v>20</v>
      </c>
      <c r="P276" s="28"/>
      <c r="Q276" s="28"/>
      <c r="R276" s="28"/>
      <c r="S276" s="28"/>
      <c r="T276" s="28"/>
      <c r="U276" s="28">
        <v>1</v>
      </c>
      <c r="V276" s="28">
        <f t="shared" si="22"/>
        <v>20</v>
      </c>
      <c r="W276" s="39">
        <v>5.4</v>
      </c>
      <c r="X276" s="31" t="s">
        <v>19</v>
      </c>
      <c r="Y276" s="39">
        <f>W276-1.2</f>
        <v>4.2</v>
      </c>
    </row>
    <row r="277" spans="1:25" ht="17.25" customHeight="1" thickBot="1">
      <c r="A277" s="33" t="s">
        <v>211</v>
      </c>
      <c r="B277" s="33" t="s">
        <v>212</v>
      </c>
      <c r="C277" s="76"/>
      <c r="D277" s="76"/>
      <c r="E277" s="66"/>
      <c r="F277" s="28"/>
      <c r="G277" s="37" t="s">
        <v>245</v>
      </c>
      <c r="H277" s="38" t="s">
        <v>20</v>
      </c>
      <c r="I277" s="33" t="s">
        <v>199</v>
      </c>
      <c r="J277" s="33" t="s">
        <v>41</v>
      </c>
      <c r="K277" s="32" t="s">
        <v>274</v>
      </c>
      <c r="L277" s="28"/>
      <c r="M277" s="28"/>
      <c r="N277" s="28"/>
      <c r="O277" s="28">
        <v>20</v>
      </c>
      <c r="P277" s="28"/>
      <c r="Q277" s="28"/>
      <c r="R277" s="28"/>
      <c r="S277" s="28"/>
      <c r="T277" s="28"/>
      <c r="U277" s="28">
        <v>1</v>
      </c>
      <c r="V277" s="28">
        <f t="shared" si="22"/>
        <v>20</v>
      </c>
      <c r="W277" s="39">
        <v>5.4</v>
      </c>
      <c r="X277" s="31" t="s">
        <v>19</v>
      </c>
      <c r="Y277" s="39">
        <f>W277-1.2</f>
        <v>4.2</v>
      </c>
    </row>
    <row r="278" spans="1:25" ht="17.25" customHeight="1" thickBot="1">
      <c r="A278" s="33" t="s">
        <v>211</v>
      </c>
      <c r="B278" s="33" t="s">
        <v>212</v>
      </c>
      <c r="C278" s="76"/>
      <c r="D278" s="76"/>
      <c r="E278" s="66"/>
      <c r="F278" s="28"/>
      <c r="G278" s="37" t="s">
        <v>245</v>
      </c>
      <c r="H278" s="38" t="s">
        <v>20</v>
      </c>
      <c r="I278" s="33" t="s">
        <v>200</v>
      </c>
      <c r="J278" s="33" t="s">
        <v>41</v>
      </c>
      <c r="K278" s="32" t="s">
        <v>274</v>
      </c>
      <c r="L278" s="28"/>
      <c r="M278" s="28"/>
      <c r="N278" s="28"/>
      <c r="O278" s="28">
        <v>5</v>
      </c>
      <c r="P278" s="28"/>
      <c r="Q278" s="28"/>
      <c r="R278" s="28"/>
      <c r="S278" s="28"/>
      <c r="T278" s="28"/>
      <c r="U278" s="28">
        <v>1</v>
      </c>
      <c r="V278" s="28">
        <f t="shared" si="22"/>
        <v>5</v>
      </c>
      <c r="W278" s="39">
        <v>1.95</v>
      </c>
      <c r="X278" s="31" t="s">
        <v>24</v>
      </c>
      <c r="Y278" s="39">
        <f>W278-0.9</f>
        <v>1.0499999999999998</v>
      </c>
    </row>
    <row r="279" spans="1:25" ht="17.25" customHeight="1" thickBot="1">
      <c r="A279" s="33" t="s">
        <v>211</v>
      </c>
      <c r="B279" s="33" t="s">
        <v>212</v>
      </c>
      <c r="C279" s="76"/>
      <c r="D279" s="76"/>
      <c r="E279" s="66"/>
      <c r="F279" s="28"/>
      <c r="G279" s="37" t="s">
        <v>246</v>
      </c>
      <c r="H279" s="38" t="s">
        <v>20</v>
      </c>
      <c r="I279" s="33" t="s">
        <v>201</v>
      </c>
      <c r="J279" s="33" t="s">
        <v>41</v>
      </c>
      <c r="K279" s="32" t="s">
        <v>274</v>
      </c>
      <c r="L279" s="28"/>
      <c r="M279" s="28"/>
      <c r="N279" s="28"/>
      <c r="O279" s="28"/>
      <c r="P279" s="28">
        <v>15</v>
      </c>
      <c r="Q279" s="28"/>
      <c r="R279" s="28"/>
      <c r="S279" s="28"/>
      <c r="T279" s="28"/>
      <c r="U279" s="28">
        <v>1</v>
      </c>
      <c r="V279" s="28">
        <f t="shared" si="22"/>
        <v>15</v>
      </c>
      <c r="W279" s="39">
        <v>4.5</v>
      </c>
      <c r="X279" s="31" t="s">
        <v>19</v>
      </c>
      <c r="Y279" s="39">
        <f t="shared" ref="Y279:Y284" si="25">W279-1.2</f>
        <v>3.3</v>
      </c>
    </row>
    <row r="280" spans="1:25" ht="17.25" customHeight="1" thickBot="1">
      <c r="A280" s="33" t="s">
        <v>211</v>
      </c>
      <c r="B280" s="33" t="s">
        <v>212</v>
      </c>
      <c r="C280" s="76"/>
      <c r="D280" s="76"/>
      <c r="E280" s="66"/>
      <c r="F280" s="28"/>
      <c r="G280" s="37" t="s">
        <v>246</v>
      </c>
      <c r="H280" s="38" t="s">
        <v>20</v>
      </c>
      <c r="I280" s="33" t="s">
        <v>203</v>
      </c>
      <c r="J280" s="33" t="s">
        <v>41</v>
      </c>
      <c r="K280" s="32" t="s">
        <v>274</v>
      </c>
      <c r="L280" s="28"/>
      <c r="M280" s="28"/>
      <c r="N280" s="28"/>
      <c r="O280" s="28"/>
      <c r="P280" s="28">
        <v>15</v>
      </c>
      <c r="Q280" s="28"/>
      <c r="R280" s="28"/>
      <c r="S280" s="28"/>
      <c r="T280" s="28"/>
      <c r="U280" s="28">
        <v>1</v>
      </c>
      <c r="V280" s="28">
        <f t="shared" si="22"/>
        <v>15</v>
      </c>
      <c r="W280" s="39">
        <v>4.5</v>
      </c>
      <c r="X280" s="31" t="s">
        <v>19</v>
      </c>
      <c r="Y280" s="39">
        <f t="shared" si="25"/>
        <v>3.3</v>
      </c>
    </row>
    <row r="281" spans="1:25" ht="17.25" customHeight="1" thickBot="1">
      <c r="A281" s="33" t="s">
        <v>211</v>
      </c>
      <c r="B281" s="33" t="s">
        <v>212</v>
      </c>
      <c r="C281" s="76"/>
      <c r="D281" s="76"/>
      <c r="E281" s="66"/>
      <c r="F281" s="28"/>
      <c r="G281" s="37" t="s">
        <v>246</v>
      </c>
      <c r="H281" s="38" t="s">
        <v>20</v>
      </c>
      <c r="I281" s="33" t="s">
        <v>204</v>
      </c>
      <c r="J281" s="33" t="s">
        <v>41</v>
      </c>
      <c r="K281" s="32" t="s">
        <v>274</v>
      </c>
      <c r="L281" s="28"/>
      <c r="M281" s="28"/>
      <c r="N281" s="28"/>
      <c r="O281" s="28"/>
      <c r="P281" s="28">
        <v>15</v>
      </c>
      <c r="Q281" s="28"/>
      <c r="R281" s="28"/>
      <c r="S281" s="28"/>
      <c r="T281" s="28"/>
      <c r="U281" s="28">
        <v>1</v>
      </c>
      <c r="V281" s="28">
        <f t="shared" si="22"/>
        <v>15</v>
      </c>
      <c r="W281" s="39">
        <v>4.5</v>
      </c>
      <c r="X281" s="31" t="s">
        <v>19</v>
      </c>
      <c r="Y281" s="39">
        <f t="shared" si="25"/>
        <v>3.3</v>
      </c>
    </row>
    <row r="282" spans="1:25" ht="17.25" customHeight="1" thickBot="1">
      <c r="A282" s="33" t="s">
        <v>211</v>
      </c>
      <c r="B282" s="33" t="s">
        <v>212</v>
      </c>
      <c r="C282" s="76"/>
      <c r="D282" s="76"/>
      <c r="E282" s="66"/>
      <c r="F282" s="28"/>
      <c r="G282" s="37" t="s">
        <v>246</v>
      </c>
      <c r="H282" s="38" t="s">
        <v>20</v>
      </c>
      <c r="I282" s="33" t="s">
        <v>205</v>
      </c>
      <c r="J282" s="33" t="s">
        <v>41</v>
      </c>
      <c r="K282" s="32" t="s">
        <v>274</v>
      </c>
      <c r="L282" s="28"/>
      <c r="M282" s="28"/>
      <c r="N282" s="28"/>
      <c r="O282" s="28"/>
      <c r="P282" s="28">
        <v>15</v>
      </c>
      <c r="Q282" s="28"/>
      <c r="R282" s="28"/>
      <c r="S282" s="28"/>
      <c r="T282" s="28"/>
      <c r="U282" s="28">
        <v>1</v>
      </c>
      <c r="V282" s="28">
        <f t="shared" ref="V282:V289" si="26">SUM(L282:T282)</f>
        <v>15</v>
      </c>
      <c r="W282" s="39">
        <v>4.5</v>
      </c>
      <c r="X282" s="31" t="s">
        <v>19</v>
      </c>
      <c r="Y282" s="39">
        <f t="shared" si="25"/>
        <v>3.3</v>
      </c>
    </row>
    <row r="283" spans="1:25" ht="17.25" customHeight="1" thickBot="1">
      <c r="A283" s="33" t="s">
        <v>211</v>
      </c>
      <c r="B283" s="33" t="s">
        <v>212</v>
      </c>
      <c r="C283" s="76"/>
      <c r="D283" s="76"/>
      <c r="E283" s="66"/>
      <c r="F283" s="28"/>
      <c r="G283" s="37" t="s">
        <v>246</v>
      </c>
      <c r="H283" s="38" t="s">
        <v>20</v>
      </c>
      <c r="I283" s="33" t="s">
        <v>206</v>
      </c>
      <c r="J283" s="33" t="s">
        <v>41</v>
      </c>
      <c r="K283" s="32" t="s">
        <v>274</v>
      </c>
      <c r="L283" s="28"/>
      <c r="M283" s="28"/>
      <c r="N283" s="28"/>
      <c r="O283" s="28"/>
      <c r="P283" s="28">
        <v>15</v>
      </c>
      <c r="Q283" s="28"/>
      <c r="R283" s="28"/>
      <c r="S283" s="28"/>
      <c r="T283" s="28"/>
      <c r="U283" s="28">
        <v>1</v>
      </c>
      <c r="V283" s="28">
        <f t="shared" si="26"/>
        <v>15</v>
      </c>
      <c r="W283" s="39">
        <v>4.5</v>
      </c>
      <c r="X283" s="31" t="s">
        <v>19</v>
      </c>
      <c r="Y283" s="39">
        <f t="shared" si="25"/>
        <v>3.3</v>
      </c>
    </row>
    <row r="284" spans="1:25" ht="17.25" customHeight="1" thickBot="1">
      <c r="A284" s="33" t="s">
        <v>211</v>
      </c>
      <c r="B284" s="33" t="s">
        <v>212</v>
      </c>
      <c r="C284" s="76"/>
      <c r="D284" s="76"/>
      <c r="E284" s="66"/>
      <c r="F284" s="28"/>
      <c r="G284" s="37" t="s">
        <v>246</v>
      </c>
      <c r="H284" s="38" t="s">
        <v>20</v>
      </c>
      <c r="I284" s="33" t="s">
        <v>247</v>
      </c>
      <c r="J284" s="33" t="s">
        <v>41</v>
      </c>
      <c r="K284" s="32" t="s">
        <v>274</v>
      </c>
      <c r="L284" s="28"/>
      <c r="M284" s="28"/>
      <c r="N284" s="28"/>
      <c r="O284" s="28"/>
      <c r="P284" s="28">
        <v>15</v>
      </c>
      <c r="Q284" s="28"/>
      <c r="R284" s="28"/>
      <c r="S284" s="28"/>
      <c r="T284" s="28"/>
      <c r="U284" s="28">
        <v>1</v>
      </c>
      <c r="V284" s="28">
        <f t="shared" si="26"/>
        <v>15</v>
      </c>
      <c r="W284" s="39">
        <v>4.5</v>
      </c>
      <c r="X284" s="31" t="s">
        <v>19</v>
      </c>
      <c r="Y284" s="39">
        <f t="shared" si="25"/>
        <v>3.3</v>
      </c>
    </row>
    <row r="285" spans="1:25" ht="17.25" customHeight="1" thickBot="1">
      <c r="A285" s="33" t="s">
        <v>211</v>
      </c>
      <c r="B285" s="33" t="s">
        <v>212</v>
      </c>
      <c r="C285" s="76"/>
      <c r="D285" s="76"/>
      <c r="E285" s="66"/>
      <c r="F285" s="28"/>
      <c r="G285" s="37" t="s">
        <v>246</v>
      </c>
      <c r="H285" s="38" t="s">
        <v>20</v>
      </c>
      <c r="I285" s="33" t="s">
        <v>248</v>
      </c>
      <c r="J285" s="33" t="s">
        <v>41</v>
      </c>
      <c r="K285" s="32" t="s">
        <v>274</v>
      </c>
      <c r="L285" s="28"/>
      <c r="M285" s="28"/>
      <c r="N285" s="28"/>
      <c r="O285" s="28"/>
      <c r="P285" s="28">
        <v>5</v>
      </c>
      <c r="Q285" s="28"/>
      <c r="R285" s="28"/>
      <c r="S285" s="28"/>
      <c r="T285" s="28"/>
      <c r="U285" s="28">
        <v>1</v>
      </c>
      <c r="V285" s="28">
        <f t="shared" si="26"/>
        <v>5</v>
      </c>
      <c r="W285" s="39">
        <v>2</v>
      </c>
      <c r="X285" s="31" t="s">
        <v>24</v>
      </c>
      <c r="Y285" s="39">
        <f>W285-0.9</f>
        <v>1.1000000000000001</v>
      </c>
    </row>
    <row r="286" spans="1:25" ht="17.25" customHeight="1" thickBot="1">
      <c r="A286" s="33" t="s">
        <v>211</v>
      </c>
      <c r="B286" s="33" t="s">
        <v>212</v>
      </c>
      <c r="C286" s="76"/>
      <c r="D286" s="76"/>
      <c r="E286" s="66"/>
      <c r="F286" s="28"/>
      <c r="G286" s="37" t="s">
        <v>249</v>
      </c>
      <c r="H286" s="38" t="s">
        <v>20</v>
      </c>
      <c r="I286" s="33" t="s">
        <v>250</v>
      </c>
      <c r="J286" s="33" t="s">
        <v>41</v>
      </c>
      <c r="K286" s="32" t="s">
        <v>274</v>
      </c>
      <c r="L286" s="28"/>
      <c r="M286" s="28"/>
      <c r="N286" s="28"/>
      <c r="O286" s="28"/>
      <c r="P286" s="28"/>
      <c r="Q286" s="28">
        <v>15</v>
      </c>
      <c r="R286" s="28"/>
      <c r="S286" s="28"/>
      <c r="T286" s="28"/>
      <c r="U286" s="28">
        <v>1</v>
      </c>
      <c r="V286" s="28">
        <f t="shared" si="26"/>
        <v>15</v>
      </c>
      <c r="W286" s="39">
        <v>4.8</v>
      </c>
      <c r="X286" s="31" t="s">
        <v>19</v>
      </c>
      <c r="Y286" s="39">
        <f>W286-1.2</f>
        <v>3.5999999999999996</v>
      </c>
    </row>
    <row r="287" spans="1:25" ht="17.25" customHeight="1" thickBot="1">
      <c r="A287" s="33" t="s">
        <v>211</v>
      </c>
      <c r="B287" s="33" t="s">
        <v>212</v>
      </c>
      <c r="C287" s="76"/>
      <c r="D287" s="76"/>
      <c r="E287" s="66"/>
      <c r="F287" s="28"/>
      <c r="G287" s="37" t="s">
        <v>249</v>
      </c>
      <c r="H287" s="38" t="s">
        <v>20</v>
      </c>
      <c r="I287" s="33" t="s">
        <v>251</v>
      </c>
      <c r="J287" s="33" t="s">
        <v>41</v>
      </c>
      <c r="K287" s="32" t="s">
        <v>274</v>
      </c>
      <c r="L287" s="28"/>
      <c r="M287" s="28"/>
      <c r="N287" s="28"/>
      <c r="O287" s="28"/>
      <c r="P287" s="28"/>
      <c r="Q287" s="28">
        <v>15</v>
      </c>
      <c r="R287" s="28"/>
      <c r="S287" s="28"/>
      <c r="T287" s="28"/>
      <c r="U287" s="28">
        <v>1</v>
      </c>
      <c r="V287" s="28">
        <f t="shared" si="26"/>
        <v>15</v>
      </c>
      <c r="W287" s="39">
        <v>4.8</v>
      </c>
      <c r="X287" s="31" t="s">
        <v>19</v>
      </c>
      <c r="Y287" s="39">
        <f>W287-1.2</f>
        <v>3.5999999999999996</v>
      </c>
    </row>
    <row r="288" spans="1:25" ht="17.25" customHeight="1" thickBot="1">
      <c r="A288" s="33" t="s">
        <v>211</v>
      </c>
      <c r="B288" s="33" t="s">
        <v>212</v>
      </c>
      <c r="C288" s="76"/>
      <c r="D288" s="76"/>
      <c r="E288" s="66"/>
      <c r="F288" s="28"/>
      <c r="G288" s="37" t="s">
        <v>249</v>
      </c>
      <c r="H288" s="38" t="s">
        <v>20</v>
      </c>
      <c r="I288" s="33" t="s">
        <v>252</v>
      </c>
      <c r="J288" s="33" t="s">
        <v>41</v>
      </c>
      <c r="K288" s="32" t="s">
        <v>274</v>
      </c>
      <c r="L288" s="28"/>
      <c r="M288" s="28"/>
      <c r="N288" s="28"/>
      <c r="O288" s="28"/>
      <c r="P288" s="28"/>
      <c r="Q288" s="28">
        <v>15</v>
      </c>
      <c r="R288" s="28"/>
      <c r="S288" s="28"/>
      <c r="T288" s="28"/>
      <c r="U288" s="28">
        <v>1</v>
      </c>
      <c r="V288" s="28">
        <f t="shared" si="26"/>
        <v>15</v>
      </c>
      <c r="W288" s="39">
        <v>4.8</v>
      </c>
      <c r="X288" s="31" t="s">
        <v>19</v>
      </c>
      <c r="Y288" s="39">
        <f>W288-1.2</f>
        <v>3.5999999999999996</v>
      </c>
    </row>
    <row r="289" spans="1:26" ht="17.25" customHeight="1" thickBot="1">
      <c r="A289" s="33" t="s">
        <v>211</v>
      </c>
      <c r="B289" s="33" t="s">
        <v>212</v>
      </c>
      <c r="C289" s="76"/>
      <c r="D289" s="76"/>
      <c r="E289" s="66"/>
      <c r="F289" s="28"/>
      <c r="G289" s="37" t="s">
        <v>249</v>
      </c>
      <c r="H289" s="38" t="s">
        <v>20</v>
      </c>
      <c r="I289" s="33" t="s">
        <v>253</v>
      </c>
      <c r="J289" s="33" t="s">
        <v>41</v>
      </c>
      <c r="K289" s="32" t="s">
        <v>274</v>
      </c>
      <c r="L289" s="28"/>
      <c r="M289" s="28"/>
      <c r="N289" s="28"/>
      <c r="O289" s="28"/>
      <c r="P289" s="28"/>
      <c r="Q289" s="28">
        <v>15</v>
      </c>
      <c r="R289" s="28"/>
      <c r="S289" s="28"/>
      <c r="T289" s="28"/>
      <c r="U289" s="28">
        <v>1</v>
      </c>
      <c r="V289" s="28">
        <f t="shared" si="26"/>
        <v>15</v>
      </c>
      <c r="W289" s="39">
        <v>4.8</v>
      </c>
      <c r="X289" s="31" t="s">
        <v>19</v>
      </c>
      <c r="Y289" s="39">
        <f>W289-1.2</f>
        <v>3.5999999999999996</v>
      </c>
    </row>
    <row r="290" spans="1:26" ht="25.5" customHeight="1" thickBot="1">
      <c r="A290" s="68" t="s">
        <v>207</v>
      </c>
      <c r="B290" s="69"/>
      <c r="C290" s="69"/>
      <c r="D290" s="69"/>
      <c r="E290" s="69"/>
      <c r="F290" s="69"/>
      <c r="G290" s="69"/>
      <c r="H290" s="70"/>
      <c r="I290" s="57">
        <f>U290</f>
        <v>136</v>
      </c>
      <c r="J290" s="57"/>
      <c r="K290" s="57"/>
      <c r="L290" s="57">
        <f t="shared" ref="L290:W290" si="27">SUM(L154:L289)</f>
        <v>0</v>
      </c>
      <c r="M290" s="57">
        <f t="shared" si="27"/>
        <v>0</v>
      </c>
      <c r="N290" s="57">
        <f t="shared" si="27"/>
        <v>130</v>
      </c>
      <c r="O290" s="57">
        <f t="shared" si="27"/>
        <v>405</v>
      </c>
      <c r="P290" s="57">
        <f t="shared" si="27"/>
        <v>770</v>
      </c>
      <c r="Q290" s="57">
        <f t="shared" si="27"/>
        <v>600</v>
      </c>
      <c r="R290" s="57">
        <f t="shared" si="27"/>
        <v>425</v>
      </c>
      <c r="S290" s="57">
        <f t="shared" si="27"/>
        <v>110</v>
      </c>
      <c r="T290" s="57">
        <f t="shared" si="27"/>
        <v>60</v>
      </c>
      <c r="U290" s="57">
        <f t="shared" si="27"/>
        <v>136</v>
      </c>
      <c r="V290" s="57">
        <f t="shared" si="27"/>
        <v>2500</v>
      </c>
      <c r="W290" s="58">
        <f t="shared" si="27"/>
        <v>630.99999999999989</v>
      </c>
      <c r="X290" s="59">
        <v>11.592000000000001</v>
      </c>
      <c r="Y290" s="58">
        <f>SUM(Y154:Y289)</f>
        <v>474.59999999999997</v>
      </c>
    </row>
    <row r="291" spans="1:26" ht="29.25" customHeight="1" thickBot="1">
      <c r="F291" s="71" t="s">
        <v>208</v>
      </c>
      <c r="G291" s="72"/>
      <c r="H291" s="73"/>
      <c r="I291" s="40">
        <f>I290+I153</f>
        <v>266</v>
      </c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5"/>
      <c r="V291" s="40">
        <f t="shared" ref="V291:Y291" si="28">V290+V153</f>
        <v>5000</v>
      </c>
      <c r="W291" s="64">
        <f t="shared" si="28"/>
        <v>1257.6499999999996</v>
      </c>
      <c r="X291" s="65">
        <v>22.98</v>
      </c>
      <c r="Y291" s="64">
        <f t="shared" si="28"/>
        <v>949.64999999999986</v>
      </c>
    </row>
    <row r="292" spans="1:26" s="45" customFormat="1">
      <c r="A292" s="14"/>
      <c r="B292" s="14"/>
      <c r="C292" s="14"/>
      <c r="D292" s="14"/>
      <c r="E292" s="14"/>
      <c r="G292" s="61"/>
      <c r="K292" s="46"/>
      <c r="Z292" s="47"/>
    </row>
    <row r="293" spans="1:26" s="45" customFormat="1">
      <c r="A293" s="14"/>
      <c r="B293" s="14"/>
      <c r="C293" s="14"/>
      <c r="D293" s="14"/>
      <c r="E293" s="14"/>
      <c r="G293" s="61"/>
      <c r="K293" s="46"/>
      <c r="Z293" s="47"/>
    </row>
    <row r="294" spans="1:26" s="45" customFormat="1">
      <c r="A294" s="62" t="s">
        <v>275</v>
      </c>
      <c r="G294" s="61"/>
      <c r="K294" s="46"/>
      <c r="Z294" s="47"/>
    </row>
    <row r="295" spans="1:26" s="45" customFormat="1">
      <c r="A295" s="62" t="s">
        <v>276</v>
      </c>
      <c r="G295" s="61"/>
      <c r="K295" s="46"/>
      <c r="Z295" s="47"/>
    </row>
    <row r="296" spans="1:26" s="45" customFormat="1">
      <c r="A296" s="62" t="s">
        <v>280</v>
      </c>
      <c r="G296" s="61"/>
      <c r="K296" s="46"/>
      <c r="Z296" s="47"/>
    </row>
    <row r="297" spans="1:26" s="45" customFormat="1">
      <c r="A297" s="62"/>
      <c r="G297" s="61"/>
      <c r="K297" s="46"/>
      <c r="Z297" s="47"/>
    </row>
    <row r="298" spans="1:26" s="45" customFormat="1">
      <c r="A298" s="62"/>
      <c r="G298" s="61"/>
      <c r="K298" s="46"/>
      <c r="Z298" s="47"/>
    </row>
    <row r="299" spans="1:26" s="45" customFormat="1" ht="18.75">
      <c r="A299" s="63" t="s">
        <v>209</v>
      </c>
      <c r="G299" s="61"/>
      <c r="K299" s="46"/>
      <c r="Z299" s="47"/>
    </row>
    <row r="300" spans="1:26" s="45" customFormat="1" ht="18.75">
      <c r="A300" s="63"/>
      <c r="G300" s="61"/>
      <c r="K300" s="46"/>
      <c r="Z300" s="47"/>
    </row>
    <row r="301" spans="1:26" s="45" customFormat="1" ht="18.75">
      <c r="A301" s="63" t="s">
        <v>210</v>
      </c>
      <c r="G301" s="61"/>
      <c r="K301" s="46"/>
      <c r="Z301" s="47"/>
    </row>
  </sheetData>
  <autoFilter ref="A22:Y291" xr:uid="{00000000-0009-0000-0000-000000000000}"/>
  <mergeCells count="22">
    <mergeCell ref="D154:D289"/>
    <mergeCell ref="A3:Y3"/>
    <mergeCell ref="A4:Y4"/>
    <mergeCell ref="D6:G6"/>
    <mergeCell ref="A14:C14"/>
    <mergeCell ref="D14:I14"/>
    <mergeCell ref="E154:E289"/>
    <mergeCell ref="A1:Y2"/>
    <mergeCell ref="A153:H153"/>
    <mergeCell ref="F291:H291"/>
    <mergeCell ref="J291:U291"/>
    <mergeCell ref="C23:C152"/>
    <mergeCell ref="D23:D152"/>
    <mergeCell ref="E23:E152"/>
    <mergeCell ref="A15:C15"/>
    <mergeCell ref="D15:I15"/>
    <mergeCell ref="A16:C16"/>
    <mergeCell ref="D16:I16"/>
    <mergeCell ref="A17:C17"/>
    <mergeCell ref="D17:I17"/>
    <mergeCell ref="A290:H290"/>
    <mergeCell ref="C154:C289"/>
  </mergeCells>
  <phoneticPr fontId="14" type="noConversion"/>
  <printOptions horizontalCentered="1"/>
  <pageMargins left="0" right="0" top="0.118055555555556" bottom="0.43263888888888902" header="0.31388888888888899" footer="0.15625"/>
  <pageSetup paperSize="9" scale="57" fitToHeight="0" orientation="landscape" r:id="rId1"/>
  <headerFoot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.75"/>
  <sheetData/>
  <phoneticPr fontId="14" type="noConversion"/>
  <pageMargins left="0.75" right="0.75" top="1" bottom="1" header="0.51180555555555596" footer="0.5118055555555559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62BE6-81FC-4134-BD15-B4614D1B3421}"/>
</file>

<file path=customXml/itemProps2.xml><?xml version="1.0" encoding="utf-8"?>
<ds:datastoreItem xmlns:ds="http://schemas.openxmlformats.org/officeDocument/2006/customXml" ds:itemID="{1ED085AD-6567-4DAD-87E8-CF37B7D96DA6}"/>
</file>

<file path=customXml/itemProps3.xml><?xml version="1.0" encoding="utf-8"?>
<ds:datastoreItem xmlns:ds="http://schemas.openxmlformats.org/officeDocument/2006/customXml" ds:itemID="{900E1E7C-CFA7-4279-89B8-4758528239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CTC INV OI-25140A</vt:lpstr>
      <vt:lpstr>Sheet1</vt:lpstr>
      <vt:lpstr>'CTC INV OI-25140A'!Print_Area</vt:lpstr>
      <vt:lpstr>'CTC INV OI-25140A'!Print_Titles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Jane</cp:lastModifiedBy>
  <cp:lastPrinted>2022-06-23T10:20:00Z</cp:lastPrinted>
  <dcterms:created xsi:type="dcterms:W3CDTF">2021-08-25T01:33:00Z</dcterms:created>
  <dcterms:modified xsi:type="dcterms:W3CDTF">2025-12-10T06:02:06Z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68D970B27E88406081DD532F1CE41CC6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  <property fmtid="{D5CDD505-2E9C-101B-9397-08002B2CF9AE}" pid="5" name="ContentTypeId">
    <vt:lpwstr>0x010100EDA1E1172CD48640B915C04C1DCB5F42</vt:lpwstr>
  </property>
</Properties>
</file>